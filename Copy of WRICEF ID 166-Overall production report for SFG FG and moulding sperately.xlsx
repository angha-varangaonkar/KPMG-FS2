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diligentindia-my.sharepoint.com/personal/angha_varangaonkar_diligentglobal_com/Documents/"/>
    </mc:Choice>
  </mc:AlternateContent>
  <xr:revisionPtr revIDLastSave="0" documentId="8_{37DE2F2E-FE5B-4AE7-892D-E4C65DC90B5D}" xr6:coauthVersionLast="47" xr6:coauthVersionMax="47" xr10:uidLastSave="{00000000-0000-0000-0000-000000000000}"/>
  <bookViews>
    <workbookView xWindow="-110" yWindow="-110" windowWidth="19420" windowHeight="11500" activeTab="2" xr2:uid="{51F61A45-489D-4E68-859D-85148A73F286}"/>
  </bookViews>
  <sheets>
    <sheet name="Business Requirement" sheetId="3" r:id="rId1"/>
    <sheet name="FS" sheetId="2" r:id="rId2"/>
    <sheet name="Detailed FS" sheetId="1" r:id="rId3"/>
  </sheets>
  <definedNames>
    <definedName name="_xlnm._FilterDatabase" localSheetId="2" hidden="1">'Detailed FS'!$A$3:$Z$3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1" l="1"/>
  <c r="O20" i="1"/>
  <c r="O22" i="1" s="1"/>
  <c r="N5" i="1"/>
  <c r="S8" i="1"/>
  <c r="T5" i="1" s="1"/>
  <c r="S7" i="1"/>
  <c r="S6" i="1"/>
  <c r="Q27" i="1"/>
  <c r="O29" i="1"/>
  <c r="Q28" i="1" s="1"/>
  <c r="Q29" i="1" s="1"/>
  <c r="O25" i="1"/>
  <c r="N13" i="1"/>
  <c r="N6" i="1"/>
  <c r="N7" i="1"/>
  <c r="N8" i="1"/>
  <c r="Z5" i="1"/>
  <c r="U5" i="1"/>
  <c r="V5" i="1"/>
  <c r="S5" i="1"/>
  <c r="N4" i="1"/>
  <c r="P13" i="1"/>
  <c r="O13" i="1"/>
  <c r="S4" i="1"/>
  <c r="P6" i="1" l="1"/>
  <c r="Q30" i="1"/>
  <c r="P8" i="1"/>
</calcChain>
</file>

<file path=xl/sharedStrings.xml><?xml version="1.0" encoding="utf-8"?>
<sst xmlns="http://schemas.openxmlformats.org/spreadsheetml/2006/main" count="375" uniqueCount="233">
  <si>
    <t>PLANT CODE</t>
  </si>
  <si>
    <t>WORKCENTRE NAME</t>
  </si>
  <si>
    <t>PRODUCTION ORDER</t>
  </si>
  <si>
    <t>ORDER TYPE</t>
  </si>
  <si>
    <t>MATERIAL GROUP</t>
  </si>
  <si>
    <t>NET WEIGHT</t>
  </si>
  <si>
    <t>CONFRIM QTY</t>
  </si>
  <si>
    <t>UOM</t>
  </si>
  <si>
    <t>MATERIAL CODE</t>
  </si>
  <si>
    <t>RANGE</t>
  </si>
  <si>
    <t>DATE</t>
  </si>
  <si>
    <t>FROM</t>
  </si>
  <si>
    <t>TO</t>
  </si>
  <si>
    <t>WORKCENTER</t>
  </si>
  <si>
    <t>MANDATORY</t>
  </si>
  <si>
    <t>MANHOURS</t>
  </si>
  <si>
    <t>A%</t>
  </si>
  <si>
    <t>Q%</t>
  </si>
  <si>
    <t>P%</t>
  </si>
  <si>
    <t>REJECTED QTY</t>
  </si>
  <si>
    <t>WORKCENTER DES</t>
  </si>
  <si>
    <t>TOTAL TONNAGE</t>
  </si>
  <si>
    <t>BREAKDOWN TIME</t>
  </si>
  <si>
    <t>CAPACITY UTILIZATION %</t>
  </si>
  <si>
    <t>ORDER QTY</t>
  </si>
  <si>
    <t>OEE %</t>
  </si>
  <si>
    <t>PLASTICJR</t>
  </si>
  <si>
    <t>DESCRIPTION</t>
  </si>
  <si>
    <t>EA</t>
  </si>
  <si>
    <t>START TIME</t>
  </si>
  <si>
    <t>END TIME</t>
  </si>
  <si>
    <t>RUNNING HRS</t>
  </si>
  <si>
    <t>BASED ON RUNNING HRS</t>
  </si>
  <si>
    <t>good/(good + rejected qty)</t>
  </si>
  <si>
    <t>Actual PC per min/Std pc per min</t>
  </si>
  <si>
    <t>A%*Q%*P%</t>
  </si>
  <si>
    <t>Confirmed qty / target qty</t>
  </si>
  <si>
    <t>(runtime - breakdown)/runtime time</t>
  </si>
  <si>
    <t>ZA23</t>
  </si>
  <si>
    <t>STD QTY</t>
  </si>
  <si>
    <t xml:space="preserve">Production version </t>
  </si>
  <si>
    <t xml:space="preserve">Alternative BOM </t>
  </si>
  <si>
    <t xml:space="preserve">Order Start date </t>
  </si>
  <si>
    <t>Order end Date</t>
  </si>
  <si>
    <t>Phases/Operation</t>
  </si>
  <si>
    <t>Selection Screen</t>
  </si>
  <si>
    <t>Date</t>
  </si>
  <si>
    <t>12.02.2026</t>
  </si>
  <si>
    <t>SF75120925</t>
  </si>
  <si>
    <t>NEW BONDTITE 1 KG WHITE CAP</t>
  </si>
  <si>
    <t>SIM23001</t>
  </si>
  <si>
    <t>INJECTION MOULDING Q-SERIES 230</t>
  </si>
  <si>
    <t>01</t>
  </si>
  <si>
    <t>0001</t>
  </si>
  <si>
    <t>16.02.2026</t>
  </si>
  <si>
    <t>0010</t>
  </si>
  <si>
    <t>Execusion start</t>
  </si>
  <si>
    <t>Execusion end date</t>
  </si>
  <si>
    <t>Moulding</t>
  </si>
  <si>
    <t>Cancelled</t>
  </si>
  <si>
    <t>Reversed</t>
  </si>
  <si>
    <t xml:space="preserve">Confirmation Number </t>
  </si>
  <si>
    <t>Confirmation Counter</t>
  </si>
  <si>
    <t>29.05.2026</t>
  </si>
  <si>
    <t>M000702010</t>
  </si>
  <si>
    <t>BONDSET FAST SETTING 25 GM</t>
  </si>
  <si>
    <t>ASPLA003</t>
  </si>
  <si>
    <t>CLAY PACKING MACHINE LINE-3 -Resin</t>
  </si>
  <si>
    <t>ASPLA001</t>
  </si>
  <si>
    <t>MANUAL</t>
  </si>
  <si>
    <t>CLAY PACKING MACHINE LINE-1 -Hardener</t>
  </si>
  <si>
    <t>Manual W/C</t>
  </si>
  <si>
    <t>ZA01</t>
  </si>
  <si>
    <t>BONDSET</t>
  </si>
  <si>
    <t>Plant as an authorization Object</t>
  </si>
  <si>
    <t>Selection screen Plant</t>
  </si>
  <si>
    <t>Pass Selection screen Plant and date to AFRU-WERKS and ERSDA and show AFRU-ERSDA</t>
  </si>
  <si>
    <t>pass CAUFV-PLENBZ TO MAKT-MATNR and take MAKT-MAKTX for SPARS=EN</t>
  </si>
  <si>
    <t>Pass CRHD-OBJID to CRTX-OBJID and take CRTX- KTEXT</t>
  </si>
  <si>
    <t>For CAUFV-AUFNR, show CAUFV-AUART</t>
  </si>
  <si>
    <t>pass CAUFV-PLENBZ TO MARA-MATNR and take MARA-MAKTL</t>
  </si>
  <si>
    <t>pass CAUFV-PLENBZ TO MARA-MATNR and take MARA-NTGEW</t>
  </si>
  <si>
    <t>For AFRU-ERSDA,RUECK and RMZHL, Show AFRU-GMNGA</t>
  </si>
  <si>
    <t>For AFRU-ERSDA, RUECK AND RMZHL, Take AFRU-AUFNR. Pass AFRU-AUFNR to CAUFV-AUFNR and Take CAUFV-PLENBZ</t>
  </si>
  <si>
    <t>For AFRU-ERSDA, RUECK AND RMZHL, Show AFRU-AUFNR</t>
  </si>
  <si>
    <t>For AFRU-ERSDA, RUECK AND RMZHLTake AFRU-AUFNR. Pass AFRU-AUFNR to CAUFV-AUFNR and Take CAUFV-GAMNG</t>
  </si>
  <si>
    <t>For AFRU-ERSDA,RUECK and RMZHL, show AFRU-MEINS</t>
  </si>
  <si>
    <t>Confirmed Qty*net weight/1000</t>
  </si>
  <si>
    <t>labour+setup labor/60 of confirmation</t>
  </si>
  <si>
    <t>Break time enter during confirmation/60</t>
  </si>
  <si>
    <t>Actual</t>
  </si>
  <si>
    <t>standard</t>
  </si>
  <si>
    <t>base qty/Machine time</t>
  </si>
  <si>
    <t>Setup machine</t>
  </si>
  <si>
    <t>from confirmation</t>
  </si>
  <si>
    <t>Confimration qty+(Confirmation qty+scrap qty)</t>
  </si>
  <si>
    <t>Routing</t>
  </si>
  <si>
    <t>confirmation</t>
  </si>
  <si>
    <t>Also do the calcution as order Qty*VGE04/BMSCH</t>
  </si>
  <si>
    <t>Now multiply above two value and show it as STD QTY</t>
  </si>
  <si>
    <t>Start date</t>
  </si>
  <si>
    <t>End date</t>
  </si>
  <si>
    <t>AFRU-ISDD</t>
  </si>
  <si>
    <t>AFRU-ISDZ</t>
  </si>
  <si>
    <t>AFRU-IEDD</t>
  </si>
  <si>
    <t>AFRU-IEDZ</t>
  </si>
  <si>
    <t>Stard time-end time</t>
  </si>
  <si>
    <t>For AFRU-ERSDA, RUECK, RMZHL, Do the sum of ISM02+ISM04/60</t>
  </si>
  <si>
    <t>(runtime-AFRU-ISERH)/Run time</t>
  </si>
  <si>
    <t>AFRU-GMNGA/AFRU-GMNGA+Sum of ZZQUAN1 to ZZQUAN6)</t>
  </si>
  <si>
    <t>confirmed qty/runtime machine</t>
  </si>
  <si>
    <t>BAPI BMSCH/VGE04</t>
  </si>
  <si>
    <t>Std</t>
  </si>
  <si>
    <t>AFRU-GMNGA/ISM04</t>
  </si>
  <si>
    <t>AFRU-ZZQUAN1 to ZZQUAN6</t>
  </si>
  <si>
    <t>AFRU-ISERH</t>
  </si>
  <si>
    <t>Confirmed Qty/Std Qty</t>
  </si>
  <si>
    <t>Pass CAUFV-AUFNR to AFPO-AUFNR and take AFPO-VERID</t>
  </si>
  <si>
    <t>For CAUFV-AUFNR, show STLAL</t>
  </si>
  <si>
    <t>Pass CAUFV-AUFNR to AFKO-AUFNR and take GLTRP</t>
  </si>
  <si>
    <t>Pass CAUFV-AUFNR to AFKO-AUFNR and take GSTRP</t>
  </si>
  <si>
    <t>AFRU-VORNR</t>
  </si>
  <si>
    <t>AFRU-STOKZ</t>
  </si>
  <si>
    <t>AFRU-STZHL</t>
  </si>
  <si>
    <t>AFRU-RUECK</t>
  </si>
  <si>
    <t>AFRU-RMZHL</t>
  </si>
  <si>
    <t>AFRU-ISM02</t>
  </si>
  <si>
    <t>For AFRU-ERSDA, RUECK AND RMZHL, Take AFRU-ARBID. Pass AFRU-ARBID to CRHD-OBJID and take CRHD-ARBPL. Pass this CRHD-ARBPL to ZPP_WORKCENTER_Exclude-ARBPL and WERKS. If the entry exist, delete such records.</t>
  </si>
  <si>
    <t>Logic</t>
  </si>
  <si>
    <t>Report Output</t>
  </si>
  <si>
    <t>Functional Specification</t>
  </si>
  <si>
    <t>Development General</t>
  </si>
  <si>
    <t>Object Name</t>
  </si>
  <si>
    <t>Description</t>
  </si>
  <si>
    <t>Version</t>
  </si>
  <si>
    <t>Object Type</t>
  </si>
  <si>
    <t>Report</t>
  </si>
  <si>
    <t>Module</t>
  </si>
  <si>
    <t>PP</t>
  </si>
  <si>
    <t>Ownership</t>
  </si>
  <si>
    <t>User</t>
  </si>
  <si>
    <t>Functional Consultant</t>
  </si>
  <si>
    <t>Dipesh Panwala</t>
  </si>
  <si>
    <t>Reviewed By</t>
  </si>
  <si>
    <t>Technical Consultant</t>
  </si>
  <si>
    <t>Process</t>
  </si>
  <si>
    <t>Business Logic</t>
  </si>
  <si>
    <t>Applicability: Both Company</t>
  </si>
  <si>
    <t>Usage:  forground and Background</t>
  </si>
  <si>
    <r>
      <rPr>
        <b/>
        <sz val="10"/>
        <rFont val="Calibri"/>
        <family val="2"/>
      </rPr>
      <t>Processing:</t>
    </r>
    <r>
      <rPr>
        <sz val="10"/>
        <rFont val="Calibri"/>
        <family val="2"/>
      </rPr>
      <t xml:space="preserve"> </t>
    </r>
  </si>
  <si>
    <r>
      <rPr>
        <b/>
        <sz val="10"/>
        <rFont val="Calibri"/>
        <family val="2"/>
      </rPr>
      <t>Processing Mode:</t>
    </r>
    <r>
      <rPr>
        <sz val="10"/>
        <rFont val="Calibri"/>
        <family val="2"/>
      </rPr>
      <t xml:space="preserve"> </t>
    </r>
  </si>
  <si>
    <t>Output type: Report</t>
  </si>
  <si>
    <t>Dependency:</t>
  </si>
  <si>
    <t>Constraint:</t>
  </si>
  <si>
    <t>Configuration Step:
Logic.
1. pass screen plant to TVARVC for Name= ZQM_CONTROL_PLANT  and compare it with TVARVC-LOW value.     
2. pass screen MATNR to MARA-MATNR and take MARA-MTART. compare MARA-MTART with TVARVC for Name= ZQM_CONTROL_MTART  and compare it with TVARVC-LOW value.     
If above condition match, then control sample value must be required.
on screen QE01, two condition is there. 
1. if user enter Yes in control sample indicator, Sample qty and location must be required to maintain. upon save button ZPP_QE01_CUST Will be modified.
2. if user enter NO in control sample indicator, Sample qty and location will not be required to maintain. upon save button ZPP_QE01_CUST Will not be modified.</t>
  </si>
  <si>
    <t>Technical specification</t>
  </si>
  <si>
    <t>Trigger method</t>
  </si>
  <si>
    <t>Foreground and Background</t>
  </si>
  <si>
    <t>Output method</t>
  </si>
  <si>
    <t>Selection parameters</t>
  </si>
  <si>
    <t>Seq</t>
  </si>
  <si>
    <t>SAP Table Name</t>
  </si>
  <si>
    <t>SAP Field Name</t>
  </si>
  <si>
    <t>Field Description</t>
  </si>
  <si>
    <t>Single value / value range</t>
  </si>
  <si>
    <t>Remark</t>
  </si>
  <si>
    <t>Output/Form Layout (If Applicable)</t>
  </si>
  <si>
    <t>Input File (If Applicable)</t>
  </si>
  <si>
    <t>Standard</t>
  </si>
  <si>
    <t>Material</t>
  </si>
  <si>
    <t>Operation</t>
  </si>
  <si>
    <t>Overhead</t>
  </si>
  <si>
    <t>Cost</t>
  </si>
  <si>
    <t>Machine</t>
  </si>
  <si>
    <t>Labor</t>
  </si>
  <si>
    <t>Report for OEE In adhesive</t>
  </si>
  <si>
    <t>Yogesh Rathore</t>
  </si>
  <si>
    <t>02.07.2026</t>
  </si>
  <si>
    <t>Objective :- Report for OEE in Adhesive</t>
  </si>
  <si>
    <r>
      <rPr>
        <b/>
        <sz val="10"/>
        <rFont val="Calibri"/>
        <family val="2"/>
      </rPr>
      <t>Assumptions / notes:</t>
    </r>
    <r>
      <rPr>
        <sz val="10"/>
        <rFont val="Calibri"/>
        <family val="2"/>
      </rPr>
      <t xml:space="preserve">  </t>
    </r>
  </si>
  <si>
    <t>Radio Button 1</t>
  </si>
  <si>
    <t>Radio Button 2</t>
  </si>
  <si>
    <t xml:space="preserve">SFG and FG </t>
  </si>
  <si>
    <t xml:space="preserve">For AFRU-ERSDA, RUECK AND RMZHLTake AFRU-AUFNR and VORNR. Pass AFRU-AUFNR to CAUFV-AUFNR and Take CAUFV-PLNTY=N, PLNNR and PLNAL.  Pass CAUFV-PLNNR and PLNAL and AFRU-VORNR to BAPI CARO_ROUTING_READ-PLNTY,PLNNR and PLNAL, VORNR and take a value of BMSCH and VGE04. Now first divide the BMSCH with VGE04. </t>
  </si>
  <si>
    <t>Only PLNTY=2</t>
  </si>
  <si>
    <t>rest logic same</t>
  </si>
  <si>
    <t>Radio Button 3</t>
  </si>
  <si>
    <t>Monthly summary</t>
  </si>
  <si>
    <t>Show workcenter wise Cummulative sum of Capacity utilization</t>
  </si>
  <si>
    <t>Logic:- Detailed logic and ALV is attached in Detailed FS sheet.</t>
  </si>
  <si>
    <t>AFPO</t>
  </si>
  <si>
    <t>CAUFV</t>
  </si>
  <si>
    <t>AFRU</t>
  </si>
  <si>
    <t>ZPP_WORKCENTER_EXCLUDE</t>
  </si>
  <si>
    <t>Requirement</t>
  </si>
  <si>
    <t>There is a 3 radio button requirement</t>
  </si>
  <si>
    <t>Moulding Report</t>
  </si>
  <si>
    <t>Logic for Moulding Report</t>
  </si>
  <si>
    <t>from screen</t>
  </si>
  <si>
    <t>confirmation entry date</t>
  </si>
  <si>
    <t>against production order material</t>
  </si>
  <si>
    <t>material description</t>
  </si>
  <si>
    <t>on which machine, the confirmation is done</t>
  </si>
  <si>
    <t>Machine description</t>
  </si>
  <si>
    <t>used material group for production</t>
  </si>
  <si>
    <t>From Material master</t>
  </si>
  <si>
    <t>PRODUCTION ORDER QTY</t>
  </si>
  <si>
    <t>Production order confirmation Qty</t>
  </si>
  <si>
    <t>Production order material UOM</t>
  </si>
  <si>
    <t>Confirmed qty/Net weight</t>
  </si>
  <si>
    <t>first take value from routing base qty and divide it with Machine time. 
Second, derive the value by order qty * Machine time/Routing base qty.
Now do mutiply first and second</t>
  </si>
  <si>
    <t>from co11n, start tine</t>
  </si>
  <si>
    <t>From Co11n, End time</t>
  </si>
  <si>
    <t>Confimation Qty/(confirmation Qty+Scrap Qty)</t>
  </si>
  <si>
    <t>Std time</t>
  </si>
  <si>
    <t>Base qty/machine time</t>
  </si>
  <si>
    <t>Actual Time</t>
  </si>
  <si>
    <t>Confirmed Qty/Confirmed machine time</t>
  </si>
  <si>
    <t>Confirmation time, user maintain the rejection Qty</t>
  </si>
  <si>
    <t>Break time when user enter in CO11N</t>
  </si>
  <si>
    <t>From Production Order</t>
  </si>
  <si>
    <t>From Confirmation</t>
  </si>
  <si>
    <t>Confimed setup time</t>
  </si>
  <si>
    <t>SFG and FG Production</t>
  </si>
  <si>
    <t>Summerised Machine Utilisation</t>
  </si>
  <si>
    <t>Confirmed Setup machine</t>
  </si>
  <si>
    <t>Std Man hours</t>
  </si>
  <si>
    <t>Production Orde Qty* BAPI-ISM04/BAPI-BMSCH</t>
  </si>
  <si>
    <t>Production order Qty*Labour time/Base qty from routing</t>
  </si>
  <si>
    <t>setup machine + machine time of confirmation/60</t>
  </si>
  <si>
    <t>start time - end time</t>
  </si>
  <si>
    <t xml:space="preserve">Based on the selection screen pass the Plant and Date to the table AFRU and bringthe output date </t>
  </si>
  <si>
    <t>CAUFV-PLNBEZ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</si>
</sst>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0"/>
      <name val="Arial"/>
      <family val="2"/>
    </font>
    <font>
      <b/>
      <sz val="24"/>
      <name val="Calibri"/>
      <family val="2"/>
    </font>
    <font>
      <sz val="10"/>
      <name val="Calibri"/>
      <family val="2"/>
    </font>
    <font>
      <b/>
      <sz val="10"/>
      <name val="Calibri"/>
      <family val="2"/>
    </font>
    <font>
      <b/>
      <sz val="10"/>
      <color indexed="9"/>
      <name val="Calibri"/>
      <family val="2"/>
    </font>
    <font>
      <b/>
      <sz val="11"/>
      <name val="Calibri"/>
      <family val="2"/>
    </font>
    <font>
      <sz val="11"/>
      <color theme="1"/>
      <name val="Calibri"/>
      <family val="2"/>
    </font>
    <font>
      <sz val="11"/>
      <name val="Calibri"/>
      <family val="2"/>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indexed="56"/>
        <bgColor indexed="64"/>
      </patternFill>
    </fill>
    <fill>
      <patternFill patternType="solid">
        <fgColor indexed="9"/>
        <bgColor indexed="64"/>
      </patternFill>
    </fill>
    <fill>
      <patternFill patternType="solid">
        <fgColor rgb="FFBDD6EE"/>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s>
  <cellStyleXfs count="3">
    <xf numFmtId="0" fontId="0" fillId="0" borderId="0"/>
    <xf numFmtId="9" fontId="1" fillId="0" borderId="0" applyFont="0" applyFill="0" applyBorder="0" applyAlignment="0" applyProtection="0"/>
    <xf numFmtId="0" fontId="4" fillId="0" borderId="0"/>
  </cellStyleXfs>
  <cellXfs count="140">
    <xf numFmtId="0" fontId="0" fillId="0" borderId="0" xfId="0"/>
    <xf numFmtId="0" fontId="0" fillId="0" borderId="1" xfId="0" applyBorder="1" applyAlignment="1">
      <alignment horizontal="center" vertical="center"/>
    </xf>
    <xf numFmtId="2" fontId="0" fillId="0" borderId="1" xfId="1" applyNumberFormat="1" applyFont="1" applyBorder="1" applyAlignment="1">
      <alignment horizontal="center" vertical="center"/>
    </xf>
    <xf numFmtId="3" fontId="0" fillId="0" borderId="1" xfId="0" applyNumberFormat="1" applyBorder="1" applyAlignment="1">
      <alignment horizontal="center" vertical="center"/>
    </xf>
    <xf numFmtId="0" fontId="3" fillId="0" borderId="0" xfId="0" applyFont="1"/>
    <xf numFmtId="0" fontId="0" fillId="0" borderId="1" xfId="0" applyBorder="1" applyAlignment="1">
      <alignment horizontal="left" vertical="center"/>
    </xf>
    <xf numFmtId="0" fontId="0" fillId="2" borderId="1" xfId="0" applyFill="1" applyBorder="1" applyAlignment="1">
      <alignment horizontal="left" vertical="center"/>
    </xf>
    <xf numFmtId="0" fontId="0" fillId="0" borderId="2" xfId="0" applyBorder="1" applyAlignment="1">
      <alignment horizontal="left" vertical="center"/>
    </xf>
    <xf numFmtId="0" fontId="0" fillId="2" borderId="2" xfId="0" applyFill="1" applyBorder="1" applyAlignment="1">
      <alignment horizontal="left" vertical="center"/>
    </xf>
    <xf numFmtId="3" fontId="0" fillId="0" borderId="1" xfId="0" applyNumberFormat="1" applyBorder="1" applyAlignment="1">
      <alignment horizontal="left" vertical="center"/>
    </xf>
    <xf numFmtId="0" fontId="0" fillId="0" borderId="0" xfId="0" applyAlignment="1">
      <alignment horizontal="left"/>
    </xf>
    <xf numFmtId="0" fontId="0" fillId="0" borderId="0" xfId="0" applyAlignment="1">
      <alignment wrapText="1"/>
    </xf>
    <xf numFmtId="0" fontId="3" fillId="0" borderId="0" xfId="0" applyFont="1" applyAlignment="1">
      <alignment wrapText="1"/>
    </xf>
    <xf numFmtId="0" fontId="0" fillId="0" borderId="1" xfId="0" applyBorder="1" applyAlignment="1">
      <alignment horizontal="left" vertical="center" wrapText="1"/>
    </xf>
    <xf numFmtId="0" fontId="0" fillId="0" borderId="1" xfId="0" applyBorder="1" applyAlignment="1">
      <alignment wrapText="1"/>
    </xf>
    <xf numFmtId="17" fontId="0" fillId="0" borderId="1" xfId="0" applyNumberFormat="1" applyBorder="1" applyAlignment="1">
      <alignment horizontal="left" vertical="center" wrapText="1"/>
    </xf>
    <xf numFmtId="20" fontId="0" fillId="0" borderId="0" xfId="0" applyNumberFormat="1" applyAlignment="1">
      <alignment horizontal="left"/>
    </xf>
    <xf numFmtId="2" fontId="0" fillId="0" borderId="0" xfId="0" applyNumberFormat="1" applyAlignment="1">
      <alignment horizontal="left"/>
    </xf>
    <xf numFmtId="2" fontId="0" fillId="0" borderId="1" xfId="1" applyNumberFormat="1" applyFont="1" applyBorder="1" applyAlignment="1">
      <alignment horizontal="left" vertical="center"/>
    </xf>
    <xf numFmtId="2" fontId="2" fillId="0" borderId="1" xfId="1" applyNumberFormat="1" applyFont="1" applyFill="1" applyBorder="1" applyAlignment="1">
      <alignment horizontal="left" vertical="center"/>
    </xf>
    <xf numFmtId="0" fontId="0" fillId="0" borderId="0" xfId="0" quotePrefix="1" applyAlignment="1">
      <alignment horizontal="left"/>
    </xf>
    <xf numFmtId="0" fontId="0" fillId="3" borderId="1" xfId="0" applyFill="1" applyBorder="1" applyAlignment="1">
      <alignment horizontal="left" vertical="center"/>
    </xf>
    <xf numFmtId="21" fontId="0" fillId="0" borderId="0" xfId="0" applyNumberFormat="1" applyAlignment="1">
      <alignment horizontal="left"/>
    </xf>
    <xf numFmtId="0" fontId="6" fillId="0" borderId="0" xfId="2" applyFont="1" applyAlignment="1">
      <alignment horizontal="center" vertical="center"/>
    </xf>
    <xf numFmtId="0" fontId="8" fillId="5" borderId="9" xfId="2" applyFont="1" applyFill="1" applyBorder="1" applyAlignment="1">
      <alignment horizontal="left" vertical="center"/>
    </xf>
    <xf numFmtId="0" fontId="7" fillId="0" borderId="10" xfId="2" applyFont="1" applyBorder="1" applyAlignment="1">
      <alignment vertical="center" wrapText="1"/>
    </xf>
    <xf numFmtId="0" fontId="7" fillId="0" borderId="11" xfId="2" applyFont="1" applyBorder="1" applyAlignment="1">
      <alignment vertical="center"/>
    </xf>
    <xf numFmtId="0" fontId="7" fillId="0" borderId="9" xfId="2" applyFont="1" applyBorder="1" applyAlignment="1">
      <alignment vertical="center"/>
    </xf>
    <xf numFmtId="0" fontId="8" fillId="5" borderId="1" xfId="2" applyFont="1" applyFill="1" applyBorder="1" applyAlignment="1">
      <alignment horizontal="left" vertical="center"/>
    </xf>
    <xf numFmtId="14" fontId="7" fillId="0" borderId="12" xfId="2" applyNumberFormat="1" applyFont="1" applyBorder="1" applyAlignment="1">
      <alignment horizontal="left" vertical="center"/>
    </xf>
    <xf numFmtId="0" fontId="8" fillId="5" borderId="3" xfId="2" applyFont="1" applyFill="1" applyBorder="1" applyAlignment="1">
      <alignment horizontal="left" vertical="center"/>
    </xf>
    <xf numFmtId="0" fontId="8" fillId="5" borderId="0" xfId="2" applyFont="1" applyFill="1" applyAlignment="1">
      <alignment horizontal="left" vertical="center" wrapText="1"/>
    </xf>
    <xf numFmtId="0" fontId="7" fillId="0" borderId="12" xfId="2" applyFont="1" applyBorder="1" applyAlignment="1">
      <alignment horizontal="left" vertical="center"/>
    </xf>
    <xf numFmtId="0" fontId="7" fillId="0" borderId="12" xfId="2" applyFont="1" applyBorder="1" applyAlignment="1">
      <alignment horizontal="left" vertical="center" wrapText="1"/>
    </xf>
    <xf numFmtId="0" fontId="8" fillId="5" borderId="15" xfId="2" applyFont="1" applyFill="1" applyBorder="1" applyAlignment="1">
      <alignment horizontal="left" vertical="center"/>
    </xf>
    <xf numFmtId="0" fontId="8" fillId="5" borderId="13" xfId="2" applyFont="1" applyFill="1" applyBorder="1" applyAlignment="1">
      <alignment horizontal="left" vertical="center" wrapText="1"/>
    </xf>
    <xf numFmtId="0" fontId="7" fillId="0" borderId="1" xfId="2" applyFont="1" applyBorder="1" applyAlignment="1">
      <alignment horizontal="center" vertical="center"/>
    </xf>
    <xf numFmtId="0" fontId="7" fillId="0" borderId="1" xfId="2" applyFont="1" applyBorder="1" applyAlignment="1">
      <alignment horizontal="left" vertical="center" wrapText="1"/>
    </xf>
    <xf numFmtId="0" fontId="6" fillId="0" borderId="0" xfId="2" applyFont="1" applyAlignment="1">
      <alignment horizontal="left" vertical="center"/>
    </xf>
    <xf numFmtId="0" fontId="7" fillId="0" borderId="1" xfId="2" applyFont="1" applyBorder="1" applyAlignment="1">
      <alignment vertical="center" wrapText="1"/>
    </xf>
    <xf numFmtId="0" fontId="10" fillId="0" borderId="0" xfId="0" applyFont="1"/>
    <xf numFmtId="0" fontId="6" fillId="0" borderId="1" xfId="2" applyFont="1" applyBorder="1" applyAlignment="1">
      <alignment horizontal="center" vertical="center" wrapText="1"/>
    </xf>
    <xf numFmtId="0" fontId="6" fillId="0" borderId="1" xfId="2" applyFont="1" applyBorder="1" applyAlignment="1">
      <alignment horizontal="center" vertical="center"/>
    </xf>
    <xf numFmtId="0" fontId="6" fillId="0" borderId="0" xfId="2" applyFont="1" applyAlignment="1">
      <alignment horizontal="center" vertical="center" wrapText="1"/>
    </xf>
    <xf numFmtId="0" fontId="10" fillId="0" borderId="0" xfId="0" applyFont="1" applyAlignment="1">
      <alignment wrapText="1"/>
    </xf>
    <xf numFmtId="0" fontId="8" fillId="5" borderId="9" xfId="2" applyFont="1" applyFill="1" applyBorder="1" applyAlignment="1">
      <alignment horizontal="center" vertical="center"/>
    </xf>
    <xf numFmtId="0" fontId="8" fillId="5" borderId="16" xfId="2" applyFont="1" applyFill="1" applyBorder="1" applyAlignment="1">
      <alignment horizontal="center" vertical="center"/>
    </xf>
    <xf numFmtId="0" fontId="8" fillId="5" borderId="1" xfId="2" applyFont="1" applyFill="1" applyBorder="1" applyAlignment="1">
      <alignment horizontal="center" vertical="center" wrapText="1"/>
    </xf>
    <xf numFmtId="0" fontId="8" fillId="5" borderId="1" xfId="2" applyFont="1" applyFill="1" applyBorder="1" applyAlignment="1">
      <alignment horizontal="center" vertical="center"/>
    </xf>
    <xf numFmtId="0" fontId="8" fillId="5" borderId="10" xfId="2" applyFont="1" applyFill="1" applyBorder="1" applyAlignment="1">
      <alignment horizontal="center" vertical="center"/>
    </xf>
    <xf numFmtId="0" fontId="8" fillId="5" borderId="12" xfId="2" applyFont="1" applyFill="1" applyBorder="1" applyAlignment="1">
      <alignment horizontal="center" vertical="center"/>
    </xf>
    <xf numFmtId="0" fontId="6" fillId="0" borderId="16" xfId="2" applyFont="1" applyBorder="1" applyAlignment="1">
      <alignment horizontal="center" vertical="center"/>
    </xf>
    <xf numFmtId="0" fontId="7" fillId="6" borderId="1" xfId="2" applyFont="1" applyFill="1" applyBorder="1" applyAlignment="1">
      <alignment horizontal="center" vertical="center" wrapText="1"/>
    </xf>
    <xf numFmtId="0" fontId="6" fillId="0" borderId="3" xfId="2" applyFont="1" applyBorder="1" applyAlignment="1">
      <alignment horizontal="center" vertical="center"/>
    </xf>
    <xf numFmtId="0" fontId="6" fillId="0" borderId="4" xfId="2" applyFont="1" applyBorder="1" applyAlignment="1">
      <alignment horizontal="center" vertical="center"/>
    </xf>
    <xf numFmtId="0" fontId="6" fillId="0" borderId="11" xfId="2" applyFont="1" applyBorder="1" applyAlignment="1">
      <alignment vertical="center"/>
    </xf>
    <xf numFmtId="0" fontId="6" fillId="0" borderId="12" xfId="2" applyFont="1" applyBorder="1" applyAlignment="1">
      <alignment vertical="center"/>
    </xf>
    <xf numFmtId="0" fontId="6" fillId="0" borderId="18" xfId="2" applyFont="1" applyBorder="1" applyAlignment="1">
      <alignment horizontal="center" vertical="center"/>
    </xf>
    <xf numFmtId="0" fontId="6" fillId="0" borderId="19" xfId="2" applyFont="1" applyBorder="1" applyAlignment="1">
      <alignment horizontal="center" vertical="center" wrapText="1"/>
    </xf>
    <xf numFmtId="0" fontId="6" fillId="0" borderId="19" xfId="2" applyFont="1" applyBorder="1" applyAlignment="1">
      <alignment horizontal="center" vertical="center"/>
    </xf>
    <xf numFmtId="0" fontId="11" fillId="0" borderId="0" xfId="0" applyFont="1" applyAlignment="1">
      <alignment vertical="center"/>
    </xf>
    <xf numFmtId="0" fontId="9" fillId="0" borderId="0" xfId="0" applyFont="1" applyAlignment="1">
      <alignment vertical="center" wrapText="1"/>
    </xf>
    <xf numFmtId="0" fontId="11" fillId="0" borderId="0" xfId="0" applyFont="1" applyAlignment="1">
      <alignment vertical="center" wrapText="1"/>
    </xf>
    <xf numFmtId="0" fontId="9" fillId="7" borderId="24" xfId="0" applyFont="1" applyFill="1" applyBorder="1" applyAlignment="1">
      <alignment vertical="center" wrapText="1"/>
    </xf>
    <xf numFmtId="0" fontId="9" fillId="7" borderId="26" xfId="0" applyFont="1" applyFill="1" applyBorder="1" applyAlignment="1">
      <alignment vertical="center" wrapText="1"/>
    </xf>
    <xf numFmtId="0" fontId="11" fillId="0" borderId="26" xfId="0" applyFont="1" applyBorder="1" applyAlignment="1">
      <alignment vertical="center" wrapText="1"/>
    </xf>
    <xf numFmtId="0" fontId="3" fillId="0" borderId="0" xfId="0" applyFont="1" applyAlignment="1">
      <alignment horizontal="left" vertical="center"/>
    </xf>
    <xf numFmtId="0" fontId="0" fillId="2" borderId="0" xfId="0" applyFill="1" applyAlignment="1">
      <alignment horizontal="left" vertical="center"/>
    </xf>
    <xf numFmtId="0" fontId="9" fillId="0" borderId="0" xfId="0" applyFont="1" applyAlignment="1">
      <alignment vertical="center" wrapText="1"/>
    </xf>
    <xf numFmtId="0" fontId="9" fillId="7" borderId="25" xfId="0" applyFont="1" applyFill="1" applyBorder="1" applyAlignment="1">
      <alignment horizontal="center" vertical="center" wrapText="1"/>
    </xf>
    <xf numFmtId="0" fontId="9" fillId="7" borderId="24" xfId="0" applyFont="1" applyFill="1" applyBorder="1" applyAlignment="1">
      <alignment horizontal="center" vertical="center" wrapText="1"/>
    </xf>
    <xf numFmtId="0" fontId="9" fillId="7" borderId="27" xfId="0" applyFont="1" applyFill="1" applyBorder="1" applyAlignment="1">
      <alignment horizontal="center" vertical="center" wrapText="1"/>
    </xf>
    <xf numFmtId="0" fontId="9" fillId="7" borderId="26" xfId="0" applyFont="1" applyFill="1" applyBorder="1" applyAlignment="1">
      <alignment horizontal="center" vertical="center" wrapText="1"/>
    </xf>
    <xf numFmtId="0" fontId="6" fillId="0" borderId="20" xfId="2" applyFont="1" applyBorder="1" applyAlignment="1">
      <alignment horizontal="center" vertical="center" wrapText="1"/>
    </xf>
    <xf numFmtId="0" fontId="6" fillId="0" borderId="21" xfId="2" applyFont="1" applyBorder="1" applyAlignment="1">
      <alignment horizontal="center" vertical="center" wrapText="1"/>
    </xf>
    <xf numFmtId="0" fontId="6" fillId="0" borderId="20" xfId="2" applyFont="1" applyBorder="1" applyAlignment="1">
      <alignment horizontal="center" vertical="center"/>
    </xf>
    <xf numFmtId="0" fontId="6" fillId="0" borderId="22" xfId="2" applyFont="1" applyBorder="1" applyAlignment="1">
      <alignment horizontal="center" vertical="center"/>
    </xf>
    <xf numFmtId="0" fontId="6" fillId="0" borderId="23" xfId="2" applyFont="1" applyBorder="1" applyAlignment="1">
      <alignment horizontal="center" vertical="center"/>
    </xf>
    <xf numFmtId="0" fontId="8" fillId="5" borderId="8" xfId="2" applyFont="1" applyFill="1" applyBorder="1" applyAlignment="1">
      <alignment horizontal="left" vertical="center"/>
    </xf>
    <xf numFmtId="0" fontId="8" fillId="5" borderId="11" xfId="2" applyFont="1" applyFill="1" applyBorder="1" applyAlignment="1">
      <alignment horizontal="left" vertical="center"/>
    </xf>
    <xf numFmtId="0" fontId="6" fillId="0" borderId="1" xfId="2" applyFont="1" applyBorder="1" applyAlignment="1">
      <alignment horizontal="center" vertical="center" wrapText="1"/>
    </xf>
    <xf numFmtId="0" fontId="7" fillId="6" borderId="1" xfId="2" applyFont="1" applyFill="1" applyBorder="1" applyAlignment="1">
      <alignment horizontal="center" vertical="center" wrapText="1"/>
    </xf>
    <xf numFmtId="0" fontId="7" fillId="6" borderId="17" xfId="2" applyFont="1" applyFill="1" applyBorder="1" applyAlignment="1">
      <alignment horizontal="center" vertical="center" wrapText="1"/>
    </xf>
    <xf numFmtId="0" fontId="8" fillId="5" borderId="5" xfId="2" applyFont="1" applyFill="1" applyBorder="1" applyAlignment="1">
      <alignment horizontal="left" vertical="center"/>
    </xf>
    <xf numFmtId="0" fontId="8" fillId="5" borderId="6" xfId="2" applyFont="1" applyFill="1" applyBorder="1" applyAlignment="1">
      <alignment horizontal="left" vertical="center"/>
    </xf>
    <xf numFmtId="0" fontId="6" fillId="0" borderId="10" xfId="2" applyFont="1" applyBorder="1" applyAlignment="1">
      <alignment horizontal="center" vertical="center"/>
    </xf>
    <xf numFmtId="0" fontId="6" fillId="0" borderId="11" xfId="2" applyFont="1" applyBorder="1" applyAlignment="1">
      <alignment horizontal="center" vertical="center"/>
    </xf>
    <xf numFmtId="0" fontId="6" fillId="0" borderId="12" xfId="2" applyFont="1" applyBorder="1" applyAlignment="1">
      <alignment horizontal="center" vertical="center"/>
    </xf>
    <xf numFmtId="0" fontId="6" fillId="0" borderId="8" xfId="2" applyFont="1" applyBorder="1" applyAlignment="1">
      <alignment horizontal="center" vertical="center"/>
    </xf>
    <xf numFmtId="0" fontId="6" fillId="0" borderId="3" xfId="2" applyFont="1" applyBorder="1" applyAlignment="1">
      <alignment vertical="top" wrapText="1"/>
    </xf>
    <xf numFmtId="0" fontId="6" fillId="0" borderId="0" xfId="2" applyFont="1" applyAlignment="1">
      <alignment vertical="top" wrapText="1"/>
    </xf>
    <xf numFmtId="0" fontId="6" fillId="0" borderId="4" xfId="2" applyFont="1" applyBorder="1" applyAlignment="1">
      <alignment vertical="top" wrapText="1"/>
    </xf>
    <xf numFmtId="0" fontId="7" fillId="0" borderId="3" xfId="2" applyFont="1" applyBorder="1" applyAlignment="1">
      <alignment vertical="center" wrapText="1"/>
    </xf>
    <xf numFmtId="0" fontId="7" fillId="0" borderId="0" xfId="2" applyFont="1" applyAlignment="1">
      <alignment vertical="center" wrapText="1"/>
    </xf>
    <xf numFmtId="0" fontId="7" fillId="0" borderId="4" xfId="2" applyFont="1" applyBorder="1" applyAlignment="1">
      <alignment vertical="center" wrapText="1"/>
    </xf>
    <xf numFmtId="0" fontId="7" fillId="0" borderId="3" xfId="2" applyFont="1" applyBorder="1" applyAlignment="1">
      <alignment horizontal="left" vertical="center" wrapText="1"/>
    </xf>
    <xf numFmtId="0" fontId="7" fillId="0" borderId="0" xfId="2" applyFont="1" applyAlignment="1">
      <alignment horizontal="left" vertical="center" wrapText="1"/>
    </xf>
    <xf numFmtId="0" fontId="7" fillId="0" borderId="4" xfId="2" applyFont="1" applyBorder="1" applyAlignment="1">
      <alignment horizontal="left" vertical="center" wrapText="1"/>
    </xf>
    <xf numFmtId="0" fontId="7" fillId="4" borderId="10" xfId="2" applyFont="1" applyFill="1" applyBorder="1" applyAlignment="1">
      <alignment horizontal="center" vertical="center"/>
    </xf>
    <xf numFmtId="0" fontId="7" fillId="4" borderId="11" xfId="2" applyFont="1" applyFill="1" applyBorder="1" applyAlignment="1">
      <alignment horizontal="center" vertical="center"/>
    </xf>
    <xf numFmtId="0" fontId="7" fillId="4" borderId="9" xfId="2" applyFont="1" applyFill="1" applyBorder="1" applyAlignment="1">
      <alignment horizontal="center" vertical="center"/>
    </xf>
    <xf numFmtId="0" fontId="8" fillId="5" borderId="8" xfId="2" applyFont="1" applyFill="1" applyBorder="1" applyAlignment="1">
      <alignment horizontal="center" vertical="center"/>
    </xf>
    <xf numFmtId="0" fontId="8" fillId="5" borderId="9" xfId="2" applyFont="1" applyFill="1" applyBorder="1" applyAlignment="1">
      <alignment horizontal="center" vertical="center"/>
    </xf>
    <xf numFmtId="0" fontId="6" fillId="0" borderId="10" xfId="2" applyFont="1" applyBorder="1" applyAlignment="1">
      <alignment horizontal="center" vertical="center" wrapText="1"/>
    </xf>
    <xf numFmtId="0" fontId="6" fillId="0" borderId="11" xfId="2" applyFont="1" applyBorder="1" applyAlignment="1">
      <alignment horizontal="center" vertical="center" wrapText="1"/>
    </xf>
    <xf numFmtId="0" fontId="6" fillId="0" borderId="12" xfId="2" applyFont="1" applyBorder="1" applyAlignment="1">
      <alignment horizontal="center" vertical="center" wrapText="1"/>
    </xf>
    <xf numFmtId="0" fontId="8" fillId="5" borderId="8" xfId="2" applyFont="1" applyFill="1" applyBorder="1" applyAlignment="1">
      <alignment horizontal="center" vertical="center" wrapText="1"/>
    </xf>
    <xf numFmtId="0" fontId="8" fillId="5" borderId="9" xfId="2" applyFont="1" applyFill="1" applyBorder="1" applyAlignment="1">
      <alignment horizontal="center" vertical="center" wrapText="1"/>
    </xf>
    <xf numFmtId="0" fontId="7" fillId="4" borderId="1" xfId="2" applyFont="1" applyFill="1" applyBorder="1" applyAlignment="1">
      <alignment horizontal="center" vertical="center"/>
    </xf>
    <xf numFmtId="0" fontId="6" fillId="0" borderId="0" xfId="2" applyFont="1" applyAlignment="1">
      <alignment vertical="center" wrapText="1"/>
    </xf>
    <xf numFmtId="0" fontId="6" fillId="0" borderId="4" xfId="2" applyFont="1" applyBorder="1" applyAlignment="1">
      <alignment vertical="center" wrapText="1"/>
    </xf>
    <xf numFmtId="0" fontId="8" fillId="5" borderId="9" xfId="2" applyFont="1" applyFill="1" applyBorder="1" applyAlignment="1">
      <alignment horizontal="left" vertical="center"/>
    </xf>
    <xf numFmtId="0" fontId="6" fillId="0" borderId="13" xfId="2" applyFont="1" applyBorder="1" applyAlignment="1">
      <alignment horizontal="left" vertical="center"/>
    </xf>
    <xf numFmtId="0" fontId="6" fillId="0" borderId="14" xfId="2" applyFont="1" applyBorder="1" applyAlignment="1">
      <alignment horizontal="left" vertical="center"/>
    </xf>
    <xf numFmtId="0" fontId="6" fillId="0" borderId="6" xfId="2" applyFont="1" applyBorder="1" applyAlignment="1">
      <alignment horizontal="left" vertical="center"/>
    </xf>
    <xf numFmtId="0" fontId="6" fillId="0" borderId="7" xfId="2" applyFont="1" applyBorder="1" applyAlignment="1">
      <alignment horizontal="left" vertical="center"/>
    </xf>
    <xf numFmtId="0" fontId="7" fillId="0" borderId="15" xfId="2" applyFont="1" applyBorder="1" applyAlignment="1">
      <alignment vertical="center" wrapText="1"/>
    </xf>
    <xf numFmtId="0" fontId="7" fillId="0" borderId="13" xfId="2" applyFont="1" applyBorder="1" applyAlignment="1">
      <alignment vertical="center" wrapText="1"/>
    </xf>
    <xf numFmtId="0" fontId="7" fillId="0" borderId="14" xfId="2" applyFont="1" applyBorder="1" applyAlignment="1">
      <alignment vertical="center" wrapText="1"/>
    </xf>
    <xf numFmtId="0" fontId="6" fillId="0" borderId="3" xfId="2" applyFont="1" applyBorder="1" applyAlignment="1">
      <alignment vertical="center" wrapText="1"/>
    </xf>
    <xf numFmtId="0" fontId="6" fillId="0" borderId="0" xfId="2" applyFont="1" applyAlignment="1">
      <alignment vertical="center"/>
    </xf>
    <xf numFmtId="0" fontId="8" fillId="5" borderId="8" xfId="2" applyFont="1" applyFill="1" applyBorder="1" applyAlignment="1">
      <alignment horizontal="left" vertical="center" wrapText="1"/>
    </xf>
    <xf numFmtId="0" fontId="6" fillId="0" borderId="9" xfId="2" applyFont="1" applyBorder="1" applyAlignment="1">
      <alignment horizontal="left" vertical="center" wrapText="1"/>
    </xf>
    <xf numFmtId="0" fontId="9" fillId="0" borderId="10" xfId="2" applyFont="1" applyBorder="1" applyAlignment="1">
      <alignment horizontal="left" vertical="center" wrapText="1"/>
    </xf>
    <xf numFmtId="0" fontId="9" fillId="0" borderId="9" xfId="2" applyFont="1" applyBorder="1" applyAlignment="1">
      <alignment horizontal="left" vertical="center" wrapText="1"/>
    </xf>
    <xf numFmtId="0" fontId="8" fillId="5" borderId="10" xfId="2" applyFont="1" applyFill="1" applyBorder="1" applyAlignment="1">
      <alignment horizontal="left" vertical="center" wrapText="1"/>
    </xf>
    <xf numFmtId="0" fontId="9" fillId="0" borderId="12" xfId="2" applyFont="1" applyBorder="1" applyAlignment="1">
      <alignment horizontal="left" vertical="center" wrapText="1"/>
    </xf>
    <xf numFmtId="0" fontId="5" fillId="0" borderId="3" xfId="2" applyFont="1" applyBorder="1" applyAlignment="1">
      <alignment horizontal="center" vertical="center"/>
    </xf>
    <xf numFmtId="0" fontId="5" fillId="0" borderId="0" xfId="2" applyFont="1" applyAlignment="1">
      <alignment horizontal="center" vertical="center"/>
    </xf>
    <xf numFmtId="0" fontId="5" fillId="0" borderId="4" xfId="2" applyFont="1" applyBorder="1" applyAlignment="1">
      <alignment horizontal="center" vertical="center"/>
    </xf>
    <xf numFmtId="0" fontId="5" fillId="0" borderId="5" xfId="2" applyFont="1" applyBorder="1" applyAlignment="1">
      <alignment horizontal="center" vertical="center"/>
    </xf>
    <xf numFmtId="0" fontId="5" fillId="0" borderId="6" xfId="2" applyFont="1" applyBorder="1" applyAlignment="1">
      <alignment horizontal="center" vertical="center"/>
    </xf>
    <xf numFmtId="0" fontId="5" fillId="0" borderId="7" xfId="2" applyFont="1" applyBorder="1" applyAlignment="1">
      <alignment horizontal="center" vertical="center"/>
    </xf>
    <xf numFmtId="0" fontId="6" fillId="0" borderId="10" xfId="2" applyFont="1" applyBorder="1" applyAlignment="1">
      <alignment horizontal="left" vertical="center"/>
    </xf>
    <xf numFmtId="0" fontId="6" fillId="0" borderId="11" xfId="2" applyFont="1" applyBorder="1" applyAlignment="1">
      <alignment horizontal="left" vertical="center"/>
    </xf>
    <xf numFmtId="0" fontId="6" fillId="0" borderId="9" xfId="2" applyFont="1" applyBorder="1" applyAlignment="1">
      <alignment horizontal="left" vertical="center"/>
    </xf>
    <xf numFmtId="0" fontId="6" fillId="0" borderId="10" xfId="2" applyFont="1" applyBorder="1" applyAlignment="1">
      <alignment horizontal="left" vertical="center" wrapText="1"/>
    </xf>
    <xf numFmtId="0" fontId="6" fillId="0" borderId="11" xfId="2" applyFont="1" applyBorder="1" applyAlignment="1">
      <alignment horizontal="left" vertical="center" wrapText="1"/>
    </xf>
    <xf numFmtId="0" fontId="7" fillId="0" borderId="10" xfId="2" applyFont="1" applyBorder="1" applyAlignment="1">
      <alignment horizontal="left" vertical="center" wrapText="1"/>
    </xf>
    <xf numFmtId="0" fontId="7" fillId="0" borderId="12" xfId="2" applyFont="1" applyBorder="1" applyAlignment="1">
      <alignment horizontal="left" vertical="center" wrapText="1"/>
    </xf>
  </cellXfs>
  <cellStyles count="3">
    <cellStyle name="Normal" xfId="0" builtinId="0"/>
    <cellStyle name="Normal 2" xfId="2" xr:uid="{971A3CD8-2AE1-48A3-BF5F-BFF7258CB6B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0</xdr:row>
      <xdr:rowOff>133352</xdr:rowOff>
    </xdr:from>
    <xdr:to>
      <xdr:col>7</xdr:col>
      <xdr:colOff>19050</xdr:colOff>
      <xdr:row>1</xdr:row>
      <xdr:rowOff>91112</xdr:rowOff>
    </xdr:to>
    <xdr:pic>
      <xdr:nvPicPr>
        <xdr:cNvPr id="2" name="Picture 1">
          <a:extLst>
            <a:ext uri="{FF2B5EF4-FFF2-40B4-BE49-F238E27FC236}">
              <a16:creationId xmlns:a16="http://schemas.microsoft.com/office/drawing/2014/main" id="{0F70853A-20F3-4492-8480-0CF4E8423E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77600" y="133352"/>
          <a:ext cx="0" cy="141910"/>
        </a:xfrm>
        <a:prstGeom prst="rect">
          <a:avLst/>
        </a:prstGeom>
      </xdr:spPr>
    </xdr:pic>
    <xdr:clientData/>
  </xdr:twoCellAnchor>
  <xdr:twoCellAnchor editAs="oneCell">
    <xdr:from>
      <xdr:col>7</xdr:col>
      <xdr:colOff>19050</xdr:colOff>
      <xdr:row>0</xdr:row>
      <xdr:rowOff>133352</xdr:rowOff>
    </xdr:from>
    <xdr:to>
      <xdr:col>7</xdr:col>
      <xdr:colOff>19050</xdr:colOff>
      <xdr:row>1</xdr:row>
      <xdr:rowOff>110162</xdr:rowOff>
    </xdr:to>
    <xdr:pic>
      <xdr:nvPicPr>
        <xdr:cNvPr id="3" name="Picture 2">
          <a:extLst>
            <a:ext uri="{FF2B5EF4-FFF2-40B4-BE49-F238E27FC236}">
              <a16:creationId xmlns:a16="http://schemas.microsoft.com/office/drawing/2014/main" id="{1CCD56E6-A1DF-4473-A17C-B3F3F2A27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77600" y="133352"/>
          <a:ext cx="0" cy="160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AE50-0260-41FA-AA30-1F13F79C5447}">
  <dimension ref="A3:F58"/>
  <sheetViews>
    <sheetView topLeftCell="A16" workbookViewId="0">
      <selection activeCell="D30" sqref="D30"/>
    </sheetView>
  </sheetViews>
  <sheetFormatPr defaultRowHeight="14.5" x14ac:dyDescent="0.35"/>
  <cols>
    <col min="1" max="1" width="21.54296875" bestFit="1" customWidth="1"/>
    <col min="2" max="2" width="54.08984375" customWidth="1"/>
    <col min="5" max="5" width="19.453125" bestFit="1" customWidth="1"/>
  </cols>
  <sheetData>
    <row r="3" spans="1:6" x14ac:dyDescent="0.35">
      <c r="A3" s="4" t="s">
        <v>194</v>
      </c>
    </row>
    <row r="4" spans="1:6" x14ac:dyDescent="0.35">
      <c r="A4" s="4"/>
    </row>
    <row r="5" spans="1:6" x14ac:dyDescent="0.35">
      <c r="A5">
        <v>1</v>
      </c>
      <c r="B5" t="s">
        <v>195</v>
      </c>
    </row>
    <row r="7" spans="1:6" x14ac:dyDescent="0.35">
      <c r="A7" s="4">
        <v>1.1000000000000001</v>
      </c>
      <c r="B7" s="4" t="s">
        <v>196</v>
      </c>
    </row>
    <row r="9" spans="1:6" x14ac:dyDescent="0.35">
      <c r="B9" s="4" t="s">
        <v>197</v>
      </c>
    </row>
    <row r="10" spans="1:6" x14ac:dyDescent="0.35">
      <c r="A10" s="4" t="s">
        <v>45</v>
      </c>
      <c r="B10" s="11"/>
    </row>
    <row r="11" spans="1:6" x14ac:dyDescent="0.35">
      <c r="A11" s="4" t="s">
        <v>0</v>
      </c>
      <c r="B11" s="12" t="s">
        <v>11</v>
      </c>
      <c r="C11" s="4" t="s">
        <v>12</v>
      </c>
    </row>
    <row r="12" spans="1:6" x14ac:dyDescent="0.35">
      <c r="B12" s="12" t="s">
        <v>74</v>
      </c>
      <c r="E12" t="s">
        <v>14</v>
      </c>
    </row>
    <row r="13" spans="1:6" x14ac:dyDescent="0.35">
      <c r="A13" s="4" t="s">
        <v>8</v>
      </c>
      <c r="B13" s="11"/>
      <c r="C13" t="s">
        <v>9</v>
      </c>
    </row>
    <row r="14" spans="1:6" x14ac:dyDescent="0.35">
      <c r="A14" s="4" t="s">
        <v>10</v>
      </c>
      <c r="B14" s="11" t="s">
        <v>11</v>
      </c>
      <c r="C14" t="s">
        <v>12</v>
      </c>
      <c r="E14" t="s">
        <v>14</v>
      </c>
      <c r="F14" s="11"/>
    </row>
    <row r="15" spans="1:6" x14ac:dyDescent="0.35">
      <c r="A15" s="4" t="s">
        <v>13</v>
      </c>
      <c r="B15" s="11" t="s">
        <v>11</v>
      </c>
      <c r="C15" t="s">
        <v>12</v>
      </c>
      <c r="F15" s="11"/>
    </row>
    <row r="16" spans="1:6" x14ac:dyDescent="0.35">
      <c r="E16" s="4"/>
      <c r="F16" s="11"/>
    </row>
    <row r="17" spans="1:6" x14ac:dyDescent="0.35">
      <c r="E17" s="4"/>
      <c r="F17" s="11"/>
    </row>
    <row r="18" spans="1:6" x14ac:dyDescent="0.35">
      <c r="A18" s="5" t="s">
        <v>0</v>
      </c>
      <c r="B18" t="s">
        <v>198</v>
      </c>
    </row>
    <row r="19" spans="1:6" x14ac:dyDescent="0.35">
      <c r="A19" s="13" t="s">
        <v>46</v>
      </c>
      <c r="B19" t="s">
        <v>199</v>
      </c>
    </row>
    <row r="20" spans="1:6" x14ac:dyDescent="0.35">
      <c r="A20" s="5" t="s">
        <v>8</v>
      </c>
      <c r="B20" t="s">
        <v>200</v>
      </c>
    </row>
    <row r="21" spans="1:6" x14ac:dyDescent="0.35">
      <c r="A21" s="5" t="s">
        <v>27</v>
      </c>
      <c r="B21" t="s">
        <v>201</v>
      </c>
    </row>
    <row r="22" spans="1:6" x14ac:dyDescent="0.35">
      <c r="A22" s="5" t="s">
        <v>1</v>
      </c>
      <c r="B22" t="s">
        <v>202</v>
      </c>
    </row>
    <row r="23" spans="1:6" x14ac:dyDescent="0.35">
      <c r="A23" s="5" t="s">
        <v>20</v>
      </c>
      <c r="B23" t="s">
        <v>203</v>
      </c>
    </row>
    <row r="24" spans="1:6" x14ac:dyDescent="0.35">
      <c r="A24" s="5" t="s">
        <v>2</v>
      </c>
      <c r="B24" s="5" t="s">
        <v>2</v>
      </c>
    </row>
    <row r="25" spans="1:6" x14ac:dyDescent="0.35">
      <c r="A25" s="5" t="s">
        <v>3</v>
      </c>
      <c r="B25" s="5" t="s">
        <v>3</v>
      </c>
    </row>
    <row r="26" spans="1:6" x14ac:dyDescent="0.35">
      <c r="A26" s="5" t="s">
        <v>4</v>
      </c>
      <c r="B26" t="s">
        <v>204</v>
      </c>
    </row>
    <row r="27" spans="1:6" x14ac:dyDescent="0.35">
      <c r="A27" s="5" t="s">
        <v>5</v>
      </c>
      <c r="B27" t="s">
        <v>205</v>
      </c>
    </row>
    <row r="28" spans="1:6" x14ac:dyDescent="0.35">
      <c r="A28" s="5" t="s">
        <v>24</v>
      </c>
      <c r="B28" t="s">
        <v>206</v>
      </c>
    </row>
    <row r="29" spans="1:6" x14ac:dyDescent="0.35">
      <c r="A29" s="5" t="s">
        <v>6</v>
      </c>
      <c r="B29" t="s">
        <v>207</v>
      </c>
    </row>
    <row r="30" spans="1:6" x14ac:dyDescent="0.35">
      <c r="A30" s="5" t="s">
        <v>7</v>
      </c>
      <c r="B30" t="s">
        <v>208</v>
      </c>
    </row>
    <row r="31" spans="1:6" x14ac:dyDescent="0.35">
      <c r="A31" s="5" t="s">
        <v>21</v>
      </c>
      <c r="B31" t="s">
        <v>209</v>
      </c>
    </row>
    <row r="32" spans="1:6" ht="101.5" x14ac:dyDescent="0.35">
      <c r="A32" s="6" t="s">
        <v>39</v>
      </c>
      <c r="B32" s="11" t="s">
        <v>210</v>
      </c>
    </row>
    <row r="33" spans="1:5" x14ac:dyDescent="0.35">
      <c r="A33" s="5" t="s">
        <v>15</v>
      </c>
      <c r="B33" t="s">
        <v>229</v>
      </c>
    </row>
    <row r="34" spans="1:5" x14ac:dyDescent="0.35">
      <c r="A34" s="7" t="s">
        <v>29</v>
      </c>
      <c r="B34" t="s">
        <v>211</v>
      </c>
    </row>
    <row r="35" spans="1:5" x14ac:dyDescent="0.35">
      <c r="A35" s="7" t="s">
        <v>30</v>
      </c>
      <c r="B35" t="s">
        <v>212</v>
      </c>
    </row>
    <row r="36" spans="1:5" x14ac:dyDescent="0.35">
      <c r="A36" s="7" t="s">
        <v>31</v>
      </c>
      <c r="B36" t="s">
        <v>230</v>
      </c>
    </row>
    <row r="37" spans="1:5" x14ac:dyDescent="0.35">
      <c r="A37" s="5" t="s">
        <v>16</v>
      </c>
      <c r="B37" s="14" t="s">
        <v>108</v>
      </c>
    </row>
    <row r="38" spans="1:5" x14ac:dyDescent="0.35">
      <c r="A38" s="5" t="s">
        <v>17</v>
      </c>
      <c r="B38" t="s">
        <v>213</v>
      </c>
    </row>
    <row r="39" spans="1:5" x14ac:dyDescent="0.35">
      <c r="A39" s="5" t="s">
        <v>18</v>
      </c>
      <c r="B39" s="1" t="s">
        <v>34</v>
      </c>
      <c r="D39" t="s">
        <v>214</v>
      </c>
      <c r="E39" t="s">
        <v>215</v>
      </c>
    </row>
    <row r="40" spans="1:5" x14ac:dyDescent="0.35">
      <c r="A40" s="5" t="s">
        <v>25</v>
      </c>
      <c r="B40" s="1" t="s">
        <v>35</v>
      </c>
      <c r="D40" t="s">
        <v>216</v>
      </c>
      <c r="E40" t="s">
        <v>217</v>
      </c>
    </row>
    <row r="41" spans="1:5" ht="29" x14ac:dyDescent="0.35">
      <c r="A41" s="5" t="s">
        <v>19</v>
      </c>
      <c r="B41" s="14" t="s">
        <v>218</v>
      </c>
    </row>
    <row r="42" spans="1:5" ht="29" x14ac:dyDescent="0.35">
      <c r="A42" s="5" t="s">
        <v>22</v>
      </c>
      <c r="B42" s="14" t="s">
        <v>219</v>
      </c>
    </row>
    <row r="43" spans="1:5" x14ac:dyDescent="0.35">
      <c r="A43" s="5" t="s">
        <v>23</v>
      </c>
      <c r="B43" s="14" t="s">
        <v>116</v>
      </c>
    </row>
    <row r="44" spans="1:5" x14ac:dyDescent="0.35">
      <c r="A44" s="6" t="s">
        <v>40</v>
      </c>
      <c r="B44" s="14" t="s">
        <v>220</v>
      </c>
    </row>
    <row r="45" spans="1:5" x14ac:dyDescent="0.35">
      <c r="A45" s="6" t="s">
        <v>41</v>
      </c>
      <c r="B45" s="14" t="s">
        <v>220</v>
      </c>
    </row>
    <row r="46" spans="1:5" x14ac:dyDescent="0.35">
      <c r="A46" s="6" t="s">
        <v>42</v>
      </c>
      <c r="B46" s="14" t="s">
        <v>220</v>
      </c>
    </row>
    <row r="47" spans="1:5" x14ac:dyDescent="0.35">
      <c r="A47" s="6" t="s">
        <v>43</v>
      </c>
      <c r="B47" s="14" t="s">
        <v>220</v>
      </c>
    </row>
    <row r="48" spans="1:5" x14ac:dyDescent="0.35">
      <c r="A48" s="6" t="s">
        <v>44</v>
      </c>
      <c r="B48" s="14" t="s">
        <v>221</v>
      </c>
    </row>
    <row r="49" spans="1:2" x14ac:dyDescent="0.35">
      <c r="A49" s="6" t="s">
        <v>59</v>
      </c>
      <c r="B49" s="6" t="s">
        <v>59</v>
      </c>
    </row>
    <row r="50" spans="1:2" x14ac:dyDescent="0.35">
      <c r="A50" s="6" t="s">
        <v>60</v>
      </c>
      <c r="B50" s="6" t="s">
        <v>60</v>
      </c>
    </row>
    <row r="51" spans="1:2" x14ac:dyDescent="0.35">
      <c r="A51" s="6" t="s">
        <v>61</v>
      </c>
      <c r="B51" s="6" t="s">
        <v>61</v>
      </c>
    </row>
    <row r="52" spans="1:2" x14ac:dyDescent="0.35">
      <c r="A52" s="6" t="s">
        <v>62</v>
      </c>
      <c r="B52" s="6" t="s">
        <v>62</v>
      </c>
    </row>
    <row r="53" spans="1:2" x14ac:dyDescent="0.35">
      <c r="A53" s="6" t="s">
        <v>93</v>
      </c>
      <c r="B53" s="14" t="s">
        <v>222</v>
      </c>
    </row>
    <row r="54" spans="1:2" x14ac:dyDescent="0.35">
      <c r="A54" s="8" t="s">
        <v>226</v>
      </c>
      <c r="B54" s="8" t="s">
        <v>228</v>
      </c>
    </row>
    <row r="56" spans="1:2" x14ac:dyDescent="0.35">
      <c r="A56" s="4">
        <v>1.2</v>
      </c>
      <c r="B56" s="4" t="s">
        <v>223</v>
      </c>
    </row>
    <row r="58" spans="1:2" x14ac:dyDescent="0.35">
      <c r="A58" s="4">
        <v>1.3</v>
      </c>
      <c r="B58" s="4" t="s">
        <v>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6EE8-E3C0-4FBA-9807-26DD74D48AE0}">
  <dimension ref="A1:N74"/>
  <sheetViews>
    <sheetView topLeftCell="A22" workbookViewId="0">
      <selection activeCell="B39" sqref="B39"/>
    </sheetView>
  </sheetViews>
  <sheetFormatPr defaultColWidth="0" defaultRowHeight="13" x14ac:dyDescent="0.35"/>
  <cols>
    <col min="1" max="1" width="14.453125" style="23" bestFit="1" customWidth="1"/>
    <col min="2" max="2" width="33.36328125" style="43" customWidth="1"/>
    <col min="3" max="3" width="17.54296875" style="23" bestFit="1" customWidth="1"/>
    <col min="4" max="4" width="26" style="23" customWidth="1"/>
    <col min="5" max="5" width="23.36328125" style="23" bestFit="1" customWidth="1"/>
    <col min="6" max="6" width="25.26953125" style="23" customWidth="1"/>
    <col min="7" max="7" width="21.1796875" style="23" customWidth="1"/>
    <col min="8" max="8" width="50.90625" style="23" customWidth="1"/>
    <col min="9" max="9" width="8" style="23" customWidth="1"/>
    <col min="10" max="16384" width="0" style="23" hidden="1"/>
  </cols>
  <sheetData>
    <row r="1" spans="1:8" x14ac:dyDescent="0.35">
      <c r="A1" s="127" t="s">
        <v>130</v>
      </c>
      <c r="B1" s="128"/>
      <c r="C1" s="128"/>
      <c r="D1" s="128"/>
      <c r="E1" s="128"/>
      <c r="F1" s="128"/>
      <c r="G1" s="128"/>
      <c r="H1" s="129"/>
    </row>
    <row r="2" spans="1:8" x14ac:dyDescent="0.35">
      <c r="A2" s="127"/>
      <c r="B2" s="128"/>
      <c r="C2" s="128"/>
      <c r="D2" s="128"/>
      <c r="E2" s="128"/>
      <c r="F2" s="128"/>
      <c r="G2" s="128"/>
      <c r="H2" s="129"/>
    </row>
    <row r="3" spans="1:8" x14ac:dyDescent="0.35">
      <c r="A3" s="127"/>
      <c r="B3" s="128"/>
      <c r="C3" s="128"/>
      <c r="D3" s="128"/>
      <c r="E3" s="128"/>
      <c r="F3" s="128"/>
      <c r="G3" s="128"/>
      <c r="H3" s="129"/>
    </row>
    <row r="4" spans="1:8" x14ac:dyDescent="0.35">
      <c r="A4" s="130"/>
      <c r="B4" s="131"/>
      <c r="C4" s="131"/>
      <c r="D4" s="131"/>
      <c r="E4" s="131"/>
      <c r="F4" s="131"/>
      <c r="G4" s="131"/>
      <c r="H4" s="132"/>
    </row>
    <row r="5" spans="1:8" x14ac:dyDescent="0.35">
      <c r="A5" s="108" t="s">
        <v>131</v>
      </c>
      <c r="B5" s="108"/>
      <c r="C5" s="108"/>
      <c r="D5" s="108"/>
      <c r="E5" s="108"/>
      <c r="F5" s="108"/>
      <c r="G5" s="108"/>
      <c r="H5" s="108"/>
    </row>
    <row r="6" spans="1:8" ht="26" x14ac:dyDescent="0.35">
      <c r="A6" s="78" t="s">
        <v>132</v>
      </c>
      <c r="B6" s="111"/>
      <c r="C6" s="25" t="s">
        <v>175</v>
      </c>
      <c r="D6" s="26"/>
      <c r="E6" s="26"/>
      <c r="F6" s="27"/>
      <c r="G6" s="28" t="s">
        <v>46</v>
      </c>
      <c r="H6" s="29" t="s">
        <v>177</v>
      </c>
    </row>
    <row r="7" spans="1:8" x14ac:dyDescent="0.35">
      <c r="A7" s="30" t="s">
        <v>133</v>
      </c>
      <c r="B7" s="31"/>
      <c r="C7" s="133" t="s">
        <v>175</v>
      </c>
      <c r="D7" s="134"/>
      <c r="E7" s="134"/>
      <c r="F7" s="135"/>
      <c r="G7" s="28" t="s">
        <v>134</v>
      </c>
      <c r="H7" s="32">
        <v>1</v>
      </c>
    </row>
    <row r="8" spans="1:8" x14ac:dyDescent="0.35">
      <c r="A8" s="121" t="s">
        <v>135</v>
      </c>
      <c r="B8" s="79"/>
      <c r="C8" s="136" t="s">
        <v>136</v>
      </c>
      <c r="D8" s="137"/>
      <c r="E8" s="137"/>
      <c r="F8" s="122"/>
      <c r="G8" s="24" t="s">
        <v>137</v>
      </c>
      <c r="H8" s="33" t="s">
        <v>138</v>
      </c>
    </row>
    <row r="9" spans="1:8" x14ac:dyDescent="0.35">
      <c r="A9" s="108" t="s">
        <v>139</v>
      </c>
      <c r="B9" s="108"/>
      <c r="C9" s="108"/>
      <c r="D9" s="108"/>
      <c r="E9" s="108"/>
      <c r="F9" s="108"/>
      <c r="G9" s="108"/>
      <c r="H9" s="108"/>
    </row>
    <row r="10" spans="1:8" x14ac:dyDescent="0.35">
      <c r="A10" s="121" t="s">
        <v>140</v>
      </c>
      <c r="B10" s="122"/>
      <c r="C10" s="136" t="s">
        <v>176</v>
      </c>
      <c r="D10" s="122"/>
      <c r="E10" s="125" t="s">
        <v>141</v>
      </c>
      <c r="F10" s="122"/>
      <c r="G10" s="138" t="s">
        <v>142</v>
      </c>
      <c r="H10" s="139"/>
    </row>
    <row r="11" spans="1:8" ht="14.5" x14ac:dyDescent="0.35">
      <c r="A11" s="121" t="s">
        <v>143</v>
      </c>
      <c r="B11" s="122"/>
      <c r="C11" s="123"/>
      <c r="D11" s="124"/>
      <c r="E11" s="125" t="s">
        <v>144</v>
      </c>
      <c r="F11" s="122"/>
      <c r="G11" s="123"/>
      <c r="H11" s="126"/>
    </row>
    <row r="12" spans="1:8" x14ac:dyDescent="0.35">
      <c r="A12" s="108" t="s">
        <v>145</v>
      </c>
      <c r="B12" s="108"/>
      <c r="C12" s="108"/>
      <c r="D12" s="108"/>
      <c r="E12" s="108"/>
      <c r="F12" s="108"/>
      <c r="G12" s="108"/>
      <c r="H12" s="108"/>
    </row>
    <row r="13" spans="1:8" x14ac:dyDescent="0.35">
      <c r="A13" s="78" t="s">
        <v>146</v>
      </c>
      <c r="B13" s="111"/>
      <c r="C13" s="112" t="s">
        <v>175</v>
      </c>
      <c r="D13" s="112"/>
      <c r="E13" s="112"/>
      <c r="F13" s="112"/>
      <c r="G13" s="112"/>
      <c r="H13" s="113"/>
    </row>
    <row r="14" spans="1:8" x14ac:dyDescent="0.35">
      <c r="A14" s="34"/>
      <c r="B14" s="35"/>
      <c r="C14" s="114"/>
      <c r="D14" s="114"/>
      <c r="E14" s="114"/>
      <c r="F14" s="114"/>
      <c r="G14" s="114"/>
      <c r="H14" s="115"/>
    </row>
    <row r="15" spans="1:8" x14ac:dyDescent="0.35">
      <c r="A15" s="116" t="s">
        <v>178</v>
      </c>
      <c r="B15" s="117"/>
      <c r="C15" s="117"/>
      <c r="D15" s="117"/>
      <c r="E15" s="117"/>
      <c r="F15" s="117"/>
      <c r="G15" s="117"/>
      <c r="H15" s="118"/>
    </row>
    <row r="16" spans="1:8" x14ac:dyDescent="0.35">
      <c r="A16" s="92" t="s">
        <v>147</v>
      </c>
      <c r="B16" s="109"/>
      <c r="C16" s="109"/>
      <c r="D16" s="109"/>
      <c r="E16" s="109"/>
      <c r="F16" s="109"/>
      <c r="G16" s="109"/>
      <c r="H16" s="110"/>
    </row>
    <row r="17" spans="1:8" x14ac:dyDescent="0.35">
      <c r="A17" s="119"/>
      <c r="B17" s="109"/>
      <c r="C17" s="109"/>
      <c r="D17" s="109"/>
      <c r="E17" s="109"/>
      <c r="F17" s="109"/>
      <c r="G17" s="109"/>
      <c r="H17" s="110"/>
    </row>
    <row r="18" spans="1:8" s="120" customFormat="1" x14ac:dyDescent="0.35">
      <c r="A18" s="93" t="s">
        <v>148</v>
      </c>
    </row>
    <row r="19" spans="1:8" x14ac:dyDescent="0.35">
      <c r="A19" s="119" t="s">
        <v>149</v>
      </c>
      <c r="B19" s="109"/>
      <c r="C19" s="109"/>
      <c r="D19" s="109"/>
      <c r="E19" s="109"/>
      <c r="F19" s="109"/>
      <c r="G19" s="109"/>
      <c r="H19" s="110"/>
    </row>
    <row r="20" spans="1:8" x14ac:dyDescent="0.35">
      <c r="A20" s="119" t="s">
        <v>150</v>
      </c>
      <c r="B20" s="109"/>
      <c r="C20" s="109"/>
      <c r="D20" s="109"/>
      <c r="E20" s="109"/>
      <c r="F20" s="109"/>
      <c r="G20" s="109"/>
      <c r="H20" s="110"/>
    </row>
    <row r="21" spans="1:8" x14ac:dyDescent="0.35">
      <c r="A21" s="92" t="s">
        <v>151</v>
      </c>
      <c r="B21" s="109"/>
      <c r="C21" s="109"/>
      <c r="D21" s="109"/>
      <c r="E21" s="109"/>
      <c r="F21" s="109"/>
      <c r="G21" s="109"/>
      <c r="H21" s="110"/>
    </row>
    <row r="22" spans="1:8" x14ac:dyDescent="0.35">
      <c r="A22" s="92" t="s">
        <v>152</v>
      </c>
      <c r="B22" s="109"/>
      <c r="C22" s="109"/>
      <c r="D22" s="109"/>
      <c r="E22" s="109"/>
      <c r="F22" s="109"/>
      <c r="G22" s="109"/>
      <c r="H22" s="110"/>
    </row>
    <row r="23" spans="1:8" x14ac:dyDescent="0.35">
      <c r="A23" s="92" t="s">
        <v>153</v>
      </c>
      <c r="B23" s="109"/>
      <c r="C23" s="109"/>
      <c r="D23" s="109"/>
      <c r="E23" s="109"/>
      <c r="F23" s="109"/>
      <c r="G23" s="109"/>
      <c r="H23" s="110"/>
    </row>
    <row r="24" spans="1:8" ht="27.5" customHeight="1" x14ac:dyDescent="0.35">
      <c r="A24" s="89" t="s">
        <v>179</v>
      </c>
      <c r="B24" s="90"/>
      <c r="C24" s="90"/>
      <c r="D24" s="90"/>
      <c r="E24" s="90"/>
      <c r="F24" s="90"/>
      <c r="G24" s="90"/>
      <c r="H24" s="91"/>
    </row>
    <row r="25" spans="1:8" x14ac:dyDescent="0.35">
      <c r="A25" s="92" t="s">
        <v>154</v>
      </c>
      <c r="B25" s="93"/>
      <c r="C25" s="93"/>
      <c r="D25" s="93"/>
      <c r="E25" s="93"/>
      <c r="F25" s="93"/>
      <c r="G25" s="93"/>
      <c r="H25" s="94"/>
    </row>
    <row r="26" spans="1:8" s="38" customFormat="1" x14ac:dyDescent="0.35">
      <c r="A26" s="36"/>
      <c r="B26" s="37"/>
      <c r="C26" s="37"/>
      <c r="D26" s="37"/>
      <c r="E26" s="37"/>
      <c r="F26" s="37"/>
      <c r="G26" s="37"/>
      <c r="H26" s="37"/>
    </row>
    <row r="27" spans="1:8" x14ac:dyDescent="0.35">
      <c r="A27" s="39"/>
      <c r="B27" s="39"/>
      <c r="C27" s="39"/>
      <c r="D27" s="39"/>
      <c r="E27" s="39"/>
      <c r="F27" s="39"/>
      <c r="G27" s="39"/>
      <c r="H27" s="39"/>
    </row>
    <row r="28" spans="1:8" x14ac:dyDescent="0.35">
      <c r="A28" s="95" t="s">
        <v>189</v>
      </c>
      <c r="B28" s="96"/>
      <c r="C28" s="96"/>
      <c r="D28" s="96"/>
      <c r="E28" s="96"/>
      <c r="F28" s="96"/>
      <c r="G28" s="96"/>
      <c r="H28" s="97"/>
    </row>
    <row r="30" spans="1:8" x14ac:dyDescent="0.35">
      <c r="A30" s="98" t="s">
        <v>155</v>
      </c>
      <c r="B30" s="99"/>
      <c r="C30" s="99"/>
      <c r="D30" s="99"/>
      <c r="E30" s="99"/>
      <c r="F30" s="99"/>
      <c r="G30" s="99"/>
      <c r="H30" s="100"/>
    </row>
    <row r="31" spans="1:8" x14ac:dyDescent="0.35">
      <c r="A31" s="101" t="s">
        <v>156</v>
      </c>
      <c r="B31" s="102"/>
      <c r="C31" s="103" t="s">
        <v>157</v>
      </c>
      <c r="D31" s="104"/>
      <c r="E31" s="104"/>
      <c r="F31" s="104"/>
      <c r="G31" s="104"/>
      <c r="H31" s="105"/>
    </row>
    <row r="32" spans="1:8" x14ac:dyDescent="0.35">
      <c r="A32" s="106" t="s">
        <v>158</v>
      </c>
      <c r="B32" s="107"/>
      <c r="C32" s="103"/>
      <c r="D32" s="104"/>
      <c r="E32" s="104"/>
      <c r="F32" s="104"/>
      <c r="G32" s="104"/>
      <c r="H32" s="105"/>
    </row>
    <row r="33" spans="1:8" x14ac:dyDescent="0.35">
      <c r="A33" s="108" t="s">
        <v>159</v>
      </c>
      <c r="B33" s="108"/>
      <c r="C33" s="108"/>
      <c r="D33" s="108"/>
      <c r="E33" s="108"/>
      <c r="F33" s="108"/>
      <c r="G33" s="108"/>
      <c r="H33" s="108"/>
    </row>
    <row r="34" spans="1:8" x14ac:dyDescent="0.35">
      <c r="A34" s="46" t="s">
        <v>160</v>
      </c>
      <c r="B34" s="47" t="s">
        <v>161</v>
      </c>
      <c r="C34" s="48" t="s">
        <v>162</v>
      </c>
      <c r="D34" s="48" t="s">
        <v>163</v>
      </c>
      <c r="E34" s="49" t="s">
        <v>164</v>
      </c>
      <c r="F34" s="45"/>
      <c r="G34" s="49" t="s">
        <v>165</v>
      </c>
      <c r="H34" s="50"/>
    </row>
    <row r="35" spans="1:8" x14ac:dyDescent="0.35">
      <c r="A35" s="51">
        <v>1</v>
      </c>
      <c r="B35" s="52" t="s">
        <v>190</v>
      </c>
      <c r="C35" s="36"/>
      <c r="D35" s="42"/>
      <c r="E35" s="80"/>
      <c r="F35" s="80"/>
      <c r="G35" s="81"/>
      <c r="H35" s="82"/>
    </row>
    <row r="36" spans="1:8" x14ac:dyDescent="0.35">
      <c r="A36" s="51">
        <v>2</v>
      </c>
      <c r="B36" s="52" t="s">
        <v>191</v>
      </c>
      <c r="C36" s="36"/>
      <c r="D36" s="42"/>
      <c r="E36" s="80"/>
      <c r="F36" s="80"/>
      <c r="G36" s="81"/>
      <c r="H36" s="82"/>
    </row>
    <row r="37" spans="1:8" x14ac:dyDescent="0.35">
      <c r="A37" s="51">
        <v>3</v>
      </c>
      <c r="B37" s="52" t="s">
        <v>192</v>
      </c>
      <c r="C37" s="36"/>
      <c r="D37" s="42"/>
      <c r="E37" s="80"/>
      <c r="F37" s="80"/>
      <c r="G37" s="81"/>
      <c r="H37" s="82"/>
    </row>
    <row r="38" spans="1:8" x14ac:dyDescent="0.35">
      <c r="A38" s="51">
        <v>4</v>
      </c>
      <c r="B38" s="52" t="s">
        <v>193</v>
      </c>
      <c r="C38" s="36"/>
      <c r="D38" s="42"/>
      <c r="E38" s="80"/>
      <c r="F38" s="80"/>
      <c r="G38" s="81"/>
      <c r="H38" s="82"/>
    </row>
    <row r="39" spans="1:8" x14ac:dyDescent="0.35">
      <c r="A39" s="51"/>
      <c r="C39" s="36"/>
      <c r="D39" s="42"/>
      <c r="E39" s="80"/>
      <c r="F39" s="80"/>
      <c r="G39" s="81"/>
      <c r="H39" s="82"/>
    </row>
    <row r="40" spans="1:8" x14ac:dyDescent="0.35">
      <c r="A40" s="51"/>
      <c r="B40" s="52"/>
      <c r="C40" s="36"/>
      <c r="D40" s="41"/>
      <c r="E40" s="80"/>
      <c r="F40" s="80"/>
      <c r="G40" s="81"/>
      <c r="H40" s="82"/>
    </row>
    <row r="41" spans="1:8" x14ac:dyDescent="0.35">
      <c r="A41" s="51"/>
      <c r="B41" s="52"/>
      <c r="C41" s="36"/>
      <c r="D41" s="41"/>
      <c r="E41" s="80"/>
      <c r="F41" s="80"/>
      <c r="G41" s="81"/>
      <c r="H41" s="82"/>
    </row>
    <row r="42" spans="1:8" x14ac:dyDescent="0.35">
      <c r="A42" s="51"/>
      <c r="B42" s="52"/>
      <c r="C42" s="36"/>
      <c r="D42" s="41"/>
      <c r="E42" s="80"/>
      <c r="F42" s="80"/>
      <c r="G42" s="81"/>
      <c r="H42" s="82"/>
    </row>
    <row r="43" spans="1:8" x14ac:dyDescent="0.35">
      <c r="A43" s="51"/>
      <c r="B43" s="52"/>
      <c r="C43" s="36"/>
      <c r="D43" s="41"/>
      <c r="E43" s="80"/>
      <c r="F43" s="80"/>
      <c r="G43" s="81"/>
      <c r="H43" s="82"/>
    </row>
    <row r="44" spans="1:8" x14ac:dyDescent="0.35">
      <c r="A44" s="51"/>
      <c r="B44" s="52"/>
      <c r="C44" s="36"/>
      <c r="D44" s="41"/>
      <c r="E44" s="80"/>
      <c r="F44" s="80"/>
      <c r="G44" s="81"/>
      <c r="H44" s="82"/>
    </row>
    <row r="45" spans="1:8" x14ac:dyDescent="0.35">
      <c r="A45" s="51"/>
      <c r="B45" s="52"/>
      <c r="C45" s="36"/>
      <c r="D45" s="41"/>
      <c r="E45" s="80"/>
      <c r="F45" s="80"/>
      <c r="G45" s="81"/>
      <c r="H45" s="82"/>
    </row>
    <row r="46" spans="1:8" x14ac:dyDescent="0.35">
      <c r="A46" s="53"/>
      <c r="D46" s="43"/>
      <c r="E46" s="43"/>
      <c r="F46" s="43"/>
      <c r="H46" s="54"/>
    </row>
    <row r="47" spans="1:8" x14ac:dyDescent="0.35">
      <c r="A47" s="83" t="s">
        <v>166</v>
      </c>
      <c r="B47" s="84"/>
      <c r="C47" s="84"/>
      <c r="D47" s="85"/>
      <c r="E47" s="86"/>
      <c r="F47" s="86"/>
      <c r="G47" s="86"/>
      <c r="H47" s="87"/>
    </row>
    <row r="48" spans="1:8" x14ac:dyDescent="0.35">
      <c r="A48" s="88"/>
      <c r="B48" s="86"/>
      <c r="C48" s="86"/>
      <c r="D48" s="86"/>
      <c r="E48" s="86"/>
      <c r="F48" s="86"/>
      <c r="G48" s="86"/>
      <c r="H48" s="87"/>
    </row>
    <row r="49" spans="1:14" x14ac:dyDescent="0.35">
      <c r="A49" s="78" t="s">
        <v>167</v>
      </c>
      <c r="B49" s="79"/>
      <c r="C49" s="79"/>
      <c r="D49" s="55"/>
      <c r="E49" s="55"/>
      <c r="F49" s="55"/>
      <c r="G49" s="55"/>
      <c r="H49" s="56"/>
    </row>
    <row r="50" spans="1:14" ht="13.5" thickBot="1" x14ac:dyDescent="0.4">
      <c r="A50" s="57"/>
      <c r="B50" s="58"/>
      <c r="C50" s="59"/>
      <c r="D50" s="73"/>
      <c r="E50" s="74"/>
      <c r="F50" s="75"/>
      <c r="G50" s="76"/>
      <c r="H50" s="77"/>
    </row>
    <row r="53" spans="1:14" ht="14.5" x14ac:dyDescent="0.35">
      <c r="A53" s="60"/>
      <c r="B53" s="44"/>
      <c r="C53" s="40"/>
      <c r="D53" s="40"/>
      <c r="E53" s="40"/>
      <c r="F53" s="40"/>
      <c r="G53" s="40"/>
      <c r="H53" s="40"/>
      <c r="I53" s="40"/>
      <c r="J53" s="40"/>
      <c r="K53" s="40"/>
      <c r="L53" s="40"/>
      <c r="M53" s="40"/>
      <c r="N53" s="40"/>
    </row>
    <row r="54" spans="1:14" ht="14.5" x14ac:dyDescent="0.35">
      <c r="A54" s="60"/>
      <c r="B54" s="44"/>
      <c r="C54" s="40"/>
      <c r="D54" s="40"/>
      <c r="E54" s="40"/>
      <c r="F54" s="40"/>
      <c r="G54" s="40"/>
      <c r="H54" s="40"/>
      <c r="I54" s="40"/>
      <c r="J54" s="40"/>
      <c r="K54" s="40"/>
      <c r="L54" s="40"/>
      <c r="M54" s="40"/>
      <c r="N54" s="40"/>
    </row>
    <row r="55" spans="1:14" ht="14.5" x14ac:dyDescent="0.35">
      <c r="A55" s="60"/>
      <c r="B55" s="44"/>
      <c r="C55" s="40"/>
      <c r="D55" s="40"/>
      <c r="E55" s="40"/>
      <c r="F55" s="40"/>
      <c r="G55" s="40"/>
      <c r="H55" s="40"/>
      <c r="I55" s="40"/>
      <c r="J55" s="40"/>
      <c r="K55" s="40"/>
      <c r="L55" s="40"/>
      <c r="M55" s="40"/>
      <c r="N55" s="40"/>
    </row>
    <row r="56" spans="1:14" ht="14.5" x14ac:dyDescent="0.35">
      <c r="A56" s="60"/>
      <c r="B56" s="44"/>
      <c r="C56" s="40"/>
      <c r="D56" s="40"/>
      <c r="E56" s="40"/>
      <c r="F56" s="40"/>
      <c r="G56" s="40"/>
      <c r="H56" s="40"/>
      <c r="I56" s="40"/>
      <c r="J56" s="40"/>
      <c r="K56" s="40"/>
      <c r="L56" s="40"/>
      <c r="M56" s="40"/>
      <c r="N56" s="40"/>
    </row>
    <row r="57" spans="1:14" ht="14.5" x14ac:dyDescent="0.35">
      <c r="A57" s="60"/>
      <c r="B57" s="44"/>
      <c r="C57" s="40"/>
      <c r="D57" s="40"/>
      <c r="E57" s="40"/>
      <c r="F57" s="40"/>
      <c r="G57" s="40"/>
      <c r="H57" s="40"/>
      <c r="I57" s="40"/>
      <c r="J57" s="40"/>
      <c r="K57" s="40"/>
      <c r="L57" s="40"/>
      <c r="M57" s="40"/>
      <c r="N57" s="40"/>
    </row>
    <row r="58" spans="1:14" ht="14.5" x14ac:dyDescent="0.35">
      <c r="A58" s="60"/>
      <c r="B58" s="44"/>
      <c r="C58" s="40"/>
      <c r="D58" s="40"/>
      <c r="E58" s="40"/>
      <c r="F58" s="40"/>
      <c r="G58" s="40"/>
      <c r="H58" s="40"/>
      <c r="I58" s="40"/>
      <c r="J58" s="40"/>
      <c r="K58" s="40"/>
      <c r="L58" s="40"/>
      <c r="M58" s="40"/>
      <c r="N58" s="40"/>
    </row>
    <row r="59" spans="1:14" ht="14.5" x14ac:dyDescent="0.35">
      <c r="A59" s="60"/>
      <c r="B59" s="44"/>
      <c r="C59" s="40"/>
      <c r="D59" s="40"/>
      <c r="E59" s="40"/>
      <c r="F59" s="40"/>
      <c r="G59" s="40"/>
      <c r="H59" s="40"/>
      <c r="I59" s="40"/>
      <c r="J59" s="40"/>
      <c r="K59" s="40"/>
      <c r="L59" s="40"/>
      <c r="M59" s="40"/>
      <c r="N59" s="40"/>
    </row>
    <row r="60" spans="1:14" ht="14.5" x14ac:dyDescent="0.35">
      <c r="A60" s="60"/>
      <c r="B60" s="44"/>
      <c r="C60" s="40"/>
      <c r="D60" s="40"/>
      <c r="E60" s="40"/>
      <c r="F60" s="40"/>
      <c r="G60" s="40"/>
      <c r="H60" s="40"/>
      <c r="I60" s="40"/>
      <c r="J60" s="40"/>
      <c r="K60" s="40"/>
      <c r="L60" s="40"/>
      <c r="M60" s="40"/>
      <c r="N60" s="40"/>
    </row>
    <row r="61" spans="1:14" ht="14.5" x14ac:dyDescent="0.35">
      <c r="A61" s="60"/>
      <c r="B61" s="44"/>
      <c r="C61" s="40"/>
      <c r="D61" s="40"/>
      <c r="E61" s="40"/>
      <c r="F61" s="40"/>
      <c r="G61" s="40"/>
      <c r="H61" s="40"/>
      <c r="I61" s="40"/>
      <c r="J61" s="40"/>
      <c r="K61" s="40"/>
      <c r="L61" s="40"/>
      <c r="M61" s="40"/>
      <c r="N61" s="40"/>
    </row>
    <row r="62" spans="1:14" ht="14.5" x14ac:dyDescent="0.35">
      <c r="A62" s="60"/>
      <c r="B62" s="44"/>
      <c r="C62" s="40"/>
      <c r="D62" s="40"/>
      <c r="E62" s="40"/>
      <c r="F62" s="40"/>
      <c r="G62" s="40"/>
      <c r="H62" s="40"/>
      <c r="I62" s="40"/>
      <c r="J62" s="40"/>
      <c r="K62" s="40"/>
      <c r="L62" s="40"/>
      <c r="M62" s="40"/>
      <c r="N62" s="40"/>
    </row>
    <row r="63" spans="1:14" ht="14.5" x14ac:dyDescent="0.35">
      <c r="A63" s="60"/>
      <c r="B63" s="44"/>
      <c r="C63" s="40"/>
      <c r="D63" s="40"/>
      <c r="E63" s="40"/>
      <c r="F63" s="40"/>
      <c r="G63" s="40"/>
      <c r="H63" s="40"/>
      <c r="I63" s="40"/>
      <c r="J63" s="40"/>
      <c r="K63" s="40"/>
      <c r="L63" s="40"/>
      <c r="M63" s="40"/>
      <c r="N63" s="40"/>
    </row>
    <row r="64" spans="1:14" ht="14.5" x14ac:dyDescent="0.35">
      <c r="A64" s="68"/>
      <c r="B64" s="61"/>
      <c r="C64" s="68"/>
      <c r="D64" s="61"/>
      <c r="E64" s="68"/>
      <c r="F64" s="68"/>
      <c r="G64" s="40"/>
      <c r="H64" s="40"/>
      <c r="I64" s="40"/>
      <c r="J64" s="40"/>
      <c r="K64" s="40"/>
      <c r="L64" s="40"/>
      <c r="M64" s="40"/>
      <c r="N64" s="40"/>
    </row>
    <row r="65" spans="1:14" ht="14.5" x14ac:dyDescent="0.35">
      <c r="A65" s="68"/>
      <c r="B65" s="61"/>
      <c r="C65" s="68"/>
      <c r="D65" s="61"/>
      <c r="E65" s="68"/>
      <c r="F65" s="68"/>
      <c r="G65" s="40"/>
      <c r="H65" s="40"/>
      <c r="I65" s="40"/>
      <c r="J65" s="40"/>
      <c r="K65" s="40"/>
      <c r="L65" s="40"/>
      <c r="M65" s="40"/>
      <c r="N65" s="40"/>
    </row>
    <row r="66" spans="1:14" ht="14.5" x14ac:dyDescent="0.35">
      <c r="A66" s="61"/>
      <c r="B66" s="61"/>
      <c r="C66" s="61"/>
      <c r="D66" s="61"/>
      <c r="E66" s="61"/>
      <c r="F66" s="61"/>
      <c r="G66" s="40"/>
      <c r="H66" s="40"/>
      <c r="I66" s="40"/>
      <c r="J66" s="40"/>
      <c r="K66" s="40"/>
      <c r="L66" s="40"/>
      <c r="M66" s="40"/>
      <c r="N66" s="40"/>
    </row>
    <row r="67" spans="1:14" ht="14.5" x14ac:dyDescent="0.35">
      <c r="A67" s="62"/>
      <c r="B67" s="62"/>
      <c r="C67" s="62"/>
      <c r="D67" s="62"/>
      <c r="E67" s="62"/>
      <c r="F67" s="62"/>
      <c r="G67" s="40"/>
      <c r="H67" s="40"/>
      <c r="I67" s="40"/>
      <c r="J67" s="40"/>
      <c r="K67" s="40"/>
      <c r="L67" s="40"/>
      <c r="M67" s="40"/>
      <c r="N67" s="40"/>
    </row>
    <row r="68" spans="1:14" ht="14.5" x14ac:dyDescent="0.35">
      <c r="A68" s="60"/>
      <c r="B68" s="44"/>
      <c r="C68" s="40"/>
      <c r="D68" s="40"/>
      <c r="E68" s="40"/>
      <c r="F68" s="40"/>
      <c r="G68" s="40"/>
      <c r="H68" s="40"/>
      <c r="I68" s="40"/>
      <c r="J68" s="40"/>
      <c r="K68" s="40"/>
      <c r="L68" s="40"/>
      <c r="M68" s="40"/>
      <c r="N68" s="40"/>
    </row>
    <row r="69" spans="1:14" ht="14.5" x14ac:dyDescent="0.35">
      <c r="A69" s="60"/>
      <c r="B69" s="44"/>
      <c r="C69" s="40"/>
      <c r="D69" s="40"/>
      <c r="E69" s="40"/>
      <c r="F69" s="40"/>
      <c r="G69" s="40"/>
      <c r="H69" s="40"/>
      <c r="I69" s="40"/>
      <c r="J69" s="40"/>
      <c r="K69" s="40"/>
      <c r="L69" s="40"/>
      <c r="M69" s="40"/>
      <c r="N69" s="40"/>
    </row>
    <row r="70" spans="1:14" ht="15" thickBot="1" x14ac:dyDescent="0.4">
      <c r="A70" s="60"/>
      <c r="B70" s="44"/>
      <c r="C70" s="40"/>
      <c r="D70" s="40"/>
      <c r="E70" s="40"/>
      <c r="F70" s="40"/>
      <c r="G70" s="40"/>
      <c r="H70" s="40"/>
      <c r="I70" s="40"/>
      <c r="J70" s="40"/>
      <c r="K70" s="40"/>
      <c r="L70" s="40"/>
      <c r="M70" s="40"/>
      <c r="N70" s="40"/>
    </row>
    <row r="71" spans="1:14" ht="116" x14ac:dyDescent="0.35">
      <c r="A71" s="68"/>
      <c r="B71" s="68"/>
      <c r="C71" s="68"/>
      <c r="D71" s="61"/>
      <c r="E71" s="61"/>
      <c r="F71" s="68"/>
      <c r="G71" s="68"/>
      <c r="H71" s="68"/>
      <c r="I71" s="68"/>
      <c r="J71" s="63" t="s">
        <v>168</v>
      </c>
      <c r="K71" s="63" t="s">
        <v>169</v>
      </c>
      <c r="L71" s="69" t="s">
        <v>170</v>
      </c>
      <c r="M71" s="70"/>
      <c r="N71" s="63" t="s">
        <v>171</v>
      </c>
    </row>
    <row r="72" spans="1:14" ht="58.5" thickBot="1" x14ac:dyDescent="0.4">
      <c r="A72" s="68"/>
      <c r="B72" s="68"/>
      <c r="C72" s="68"/>
      <c r="D72" s="61"/>
      <c r="E72" s="61"/>
      <c r="F72" s="68"/>
      <c r="G72" s="68"/>
      <c r="H72" s="68"/>
      <c r="I72" s="68"/>
      <c r="J72" s="64" t="s">
        <v>172</v>
      </c>
      <c r="K72" s="64" t="s">
        <v>172</v>
      </c>
      <c r="L72" s="71" t="s">
        <v>172</v>
      </c>
      <c r="M72" s="72"/>
      <c r="N72" s="64" t="s">
        <v>172</v>
      </c>
    </row>
    <row r="73" spans="1:14" ht="102" thickBot="1" x14ac:dyDescent="0.4">
      <c r="A73" s="61"/>
      <c r="B73" s="61"/>
      <c r="C73" s="61"/>
      <c r="D73" s="61"/>
      <c r="E73" s="62"/>
      <c r="F73" s="61"/>
      <c r="G73" s="61"/>
      <c r="H73" s="61"/>
      <c r="I73" s="61"/>
      <c r="J73" s="64"/>
      <c r="K73" s="64"/>
      <c r="L73" s="64" t="s">
        <v>173</v>
      </c>
      <c r="M73" s="64" t="s">
        <v>174</v>
      </c>
      <c r="N73" s="64"/>
    </row>
    <row r="74" spans="1:14" ht="15" thickBot="1" x14ac:dyDescent="0.4">
      <c r="A74" s="62"/>
      <c r="B74" s="62"/>
      <c r="C74" s="62"/>
      <c r="D74" s="62"/>
      <c r="E74" s="61"/>
      <c r="F74" s="62"/>
      <c r="G74" s="62"/>
      <c r="H74" s="62"/>
      <c r="I74" s="62"/>
      <c r="J74" s="65"/>
      <c r="K74" s="65"/>
      <c r="L74" s="65"/>
      <c r="M74" s="65"/>
      <c r="N74" s="65"/>
    </row>
  </sheetData>
  <mergeCells count="77">
    <mergeCell ref="A11:B11"/>
    <mergeCell ref="C11:D11"/>
    <mergeCell ref="E11:F11"/>
    <mergeCell ref="G11:H11"/>
    <mergeCell ref="A1:H4"/>
    <mergeCell ref="A5:H5"/>
    <mergeCell ref="A6:B6"/>
    <mergeCell ref="C7:F7"/>
    <mergeCell ref="A8:B8"/>
    <mergeCell ref="C8:F8"/>
    <mergeCell ref="A9:H9"/>
    <mergeCell ref="A10:B10"/>
    <mergeCell ref="C10:D10"/>
    <mergeCell ref="E10:F10"/>
    <mergeCell ref="G10:H10"/>
    <mergeCell ref="A23:H23"/>
    <mergeCell ref="A12:H12"/>
    <mergeCell ref="A13:B13"/>
    <mergeCell ref="C13:H14"/>
    <mergeCell ref="A15:H15"/>
    <mergeCell ref="A16:H16"/>
    <mergeCell ref="A17:H17"/>
    <mergeCell ref="A18:XFD18"/>
    <mergeCell ref="A19:H19"/>
    <mergeCell ref="A20:H20"/>
    <mergeCell ref="A21:H21"/>
    <mergeCell ref="A22:H22"/>
    <mergeCell ref="E35:F35"/>
    <mergeCell ref="G35:H35"/>
    <mergeCell ref="A24:H24"/>
    <mergeCell ref="A25:H25"/>
    <mergeCell ref="A28:H28"/>
    <mergeCell ref="A30:H30"/>
    <mergeCell ref="A31:B31"/>
    <mergeCell ref="C31:H31"/>
    <mergeCell ref="A32:B32"/>
    <mergeCell ref="C32:H32"/>
    <mergeCell ref="A33:H33"/>
    <mergeCell ref="E36:F36"/>
    <mergeCell ref="G36:H36"/>
    <mergeCell ref="E37:F37"/>
    <mergeCell ref="G37:H37"/>
    <mergeCell ref="E38:F38"/>
    <mergeCell ref="G38:H38"/>
    <mergeCell ref="E39:F39"/>
    <mergeCell ref="G39:H39"/>
    <mergeCell ref="E40:F40"/>
    <mergeCell ref="G40:H40"/>
    <mergeCell ref="E41:F41"/>
    <mergeCell ref="G41:H41"/>
    <mergeCell ref="A49:C49"/>
    <mergeCell ref="E42:F42"/>
    <mergeCell ref="G42:H42"/>
    <mergeCell ref="E43:F43"/>
    <mergeCell ref="G43:H43"/>
    <mergeCell ref="E44:F44"/>
    <mergeCell ref="G44:H44"/>
    <mergeCell ref="E45:F45"/>
    <mergeCell ref="G45:H45"/>
    <mergeCell ref="A47:C47"/>
    <mergeCell ref="D47:H47"/>
    <mergeCell ref="A48:H48"/>
    <mergeCell ref="D50:E50"/>
    <mergeCell ref="F50:H50"/>
    <mergeCell ref="A64:A65"/>
    <mergeCell ref="C64:C65"/>
    <mergeCell ref="E64:E65"/>
    <mergeCell ref="F64:F65"/>
    <mergeCell ref="I71:I72"/>
    <mergeCell ref="L71:M71"/>
    <mergeCell ref="L72:M72"/>
    <mergeCell ref="A71:A72"/>
    <mergeCell ref="B71:B72"/>
    <mergeCell ref="C71:C72"/>
    <mergeCell ref="F71:F72"/>
    <mergeCell ref="G71:G72"/>
    <mergeCell ref="H71:H72"/>
  </mergeCells>
  <dataValidations count="5">
    <dataValidation type="list" allowBlank="1" showInputMessage="1" showErrorMessage="1" sqref="C31" xr:uid="{C1B0B65A-5C3F-42F5-8B7A-4B596A79D58A}">
      <formula1>"Foreground, Background, Foreground and Background"</formula1>
    </dataValidation>
    <dataValidation type="list" allowBlank="1" showInputMessage="1" showErrorMessage="1" sqref="C32" xr:uid="{0FA31F3F-EF44-42F7-8EEE-0E07C66F9879}">
      <formula1>"Screen, Printer, Local File, Screen and Printer, Screen and Local File"</formula1>
    </dataValidation>
    <dataValidation type="list" allowBlank="1" showInputMessage="1" showErrorMessage="1" sqref="E35:F46" xr:uid="{92158200-B053-454C-8972-44525B54E51C}">
      <formula1>"Single Value, Range Of Values"</formula1>
    </dataValidation>
    <dataValidation type="list" allowBlank="1" showInputMessage="1" showErrorMessage="1" sqref="H8" xr:uid="{737714F4-31A0-4B51-A8AC-6276F8E0D683}">
      <formula1>"FI, CO, MM, SD, PP, PM, QM, HR"</formula1>
    </dataValidation>
    <dataValidation type="list" allowBlank="1" showInputMessage="1" showErrorMessage="1" sqref="C8:F8" xr:uid="{DC527B63-9C7F-4E3C-AC1E-37DB056257F9}">
      <formula1>"Report, Interface, BDC, Dialog, Enhancement, BADI, SAPScript, Smart Form, FM, Lable Printing,  Message Class"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F41E-2784-49EB-A057-EFEC60896BD2}">
  <dimension ref="A1:AL80"/>
  <sheetViews>
    <sheetView tabSelected="1" workbookViewId="0">
      <selection activeCell="A31" sqref="A31"/>
    </sheetView>
  </sheetViews>
  <sheetFormatPr defaultColWidth="18" defaultRowHeight="14.5" x14ac:dyDescent="0.35"/>
  <cols>
    <col min="1" max="1" width="21.54296875" bestFit="1" customWidth="1"/>
    <col min="2" max="2" width="27.453125" style="11" bestFit="1" customWidth="1"/>
    <col min="3" max="3" width="14.26953125" bestFit="1" customWidth="1"/>
    <col min="4" max="4" width="46.7265625" customWidth="1"/>
    <col min="5" max="5" width="37" customWidth="1"/>
    <col min="6" max="6" width="35.81640625" style="10" bestFit="1" customWidth="1"/>
    <col min="7" max="7" width="18.54296875" bestFit="1" customWidth="1"/>
    <col min="8" max="8" width="11.08984375" bestFit="1" customWidth="1"/>
    <col min="9" max="9" width="15.54296875" bestFit="1" customWidth="1"/>
    <col min="10" max="10" width="11.26953125" bestFit="1" customWidth="1"/>
    <col min="11" max="11" width="10.36328125" bestFit="1" customWidth="1"/>
    <col min="12" max="12" width="12.453125" bestFit="1" customWidth="1"/>
    <col min="13" max="13" width="5" bestFit="1" customWidth="1"/>
    <col min="14" max="14" width="14.90625" bestFit="1" customWidth="1"/>
    <col min="15" max="15" width="21.54296875" bestFit="1" customWidth="1"/>
    <col min="16" max="16" width="22.453125" bestFit="1" customWidth="1"/>
    <col min="17" max="17" width="10.08984375" bestFit="1" customWidth="1"/>
    <col min="18" max="18" width="8.6328125" bestFit="1" customWidth="1"/>
    <col min="19" max="19" width="12.90625" bestFit="1" customWidth="1"/>
    <col min="20" max="20" width="12.6328125" bestFit="1" customWidth="1"/>
    <col min="21" max="21" width="16.08984375" bestFit="1" customWidth="1"/>
    <col min="22" max="22" width="27.453125" bestFit="1" customWidth="1"/>
    <col min="26" max="26" width="24.1796875" bestFit="1" customWidth="1"/>
  </cols>
  <sheetData>
    <row r="1" spans="1:38" x14ac:dyDescent="0.35">
      <c r="A1" s="4" t="s">
        <v>129</v>
      </c>
    </row>
    <row r="3" spans="1:38" x14ac:dyDescent="0.35">
      <c r="A3" s="5" t="s">
        <v>0</v>
      </c>
      <c r="B3" s="13" t="s">
        <v>46</v>
      </c>
      <c r="C3" s="5" t="s">
        <v>8</v>
      </c>
      <c r="D3" s="5" t="s">
        <v>27</v>
      </c>
      <c r="E3" s="5" t="s">
        <v>1</v>
      </c>
      <c r="F3" s="5" t="s">
        <v>20</v>
      </c>
      <c r="G3" s="5" t="s">
        <v>2</v>
      </c>
      <c r="H3" s="5" t="s">
        <v>3</v>
      </c>
      <c r="I3" s="5" t="s">
        <v>4</v>
      </c>
      <c r="J3" s="5" t="s">
        <v>5</v>
      </c>
      <c r="K3" s="5" t="s">
        <v>24</v>
      </c>
      <c r="L3" s="5" t="s">
        <v>6</v>
      </c>
      <c r="M3" s="5" t="s">
        <v>7</v>
      </c>
      <c r="N3" s="5" t="s">
        <v>21</v>
      </c>
      <c r="O3" s="6" t="s">
        <v>39</v>
      </c>
      <c r="P3" s="5" t="s">
        <v>15</v>
      </c>
      <c r="Q3" s="7" t="s">
        <v>29</v>
      </c>
      <c r="R3" s="7" t="s">
        <v>30</v>
      </c>
      <c r="S3" s="7" t="s">
        <v>31</v>
      </c>
      <c r="T3" s="5" t="s">
        <v>16</v>
      </c>
      <c r="U3" s="5" t="s">
        <v>17</v>
      </c>
      <c r="V3" s="5" t="s">
        <v>18</v>
      </c>
      <c r="W3" s="5" t="s">
        <v>25</v>
      </c>
      <c r="X3" s="5" t="s">
        <v>19</v>
      </c>
      <c r="Y3" s="5" t="s">
        <v>22</v>
      </c>
      <c r="Z3" s="5" t="s">
        <v>23</v>
      </c>
      <c r="AA3" s="8" t="s">
        <v>40</v>
      </c>
      <c r="AB3" s="8" t="s">
        <v>41</v>
      </c>
      <c r="AC3" s="8" t="s">
        <v>42</v>
      </c>
      <c r="AD3" s="8" t="s">
        <v>43</v>
      </c>
      <c r="AE3" s="8" t="s">
        <v>44</v>
      </c>
      <c r="AF3" s="8" t="s">
        <v>56</v>
      </c>
      <c r="AG3" s="8" t="s">
        <v>57</v>
      </c>
      <c r="AH3" s="8" t="s">
        <v>59</v>
      </c>
      <c r="AI3" s="8" t="s">
        <v>60</v>
      </c>
      <c r="AJ3" s="8" t="s">
        <v>61</v>
      </c>
      <c r="AK3" s="8" t="s">
        <v>62</v>
      </c>
      <c r="AL3" s="8" t="s">
        <v>93</v>
      </c>
    </row>
    <row r="4" spans="1:38" x14ac:dyDescent="0.35">
      <c r="A4" s="5">
        <v>2006</v>
      </c>
      <c r="B4" s="15" t="s">
        <v>47</v>
      </c>
      <c r="C4" s="5" t="s">
        <v>48</v>
      </c>
      <c r="D4" s="5" t="s">
        <v>49</v>
      </c>
      <c r="E4" s="5" t="s">
        <v>50</v>
      </c>
      <c r="F4" s="5" t="s">
        <v>51</v>
      </c>
      <c r="G4" s="5">
        <v>4030000020</v>
      </c>
      <c r="H4" s="5" t="s">
        <v>38</v>
      </c>
      <c r="I4" s="5" t="s">
        <v>26</v>
      </c>
      <c r="J4" s="5">
        <v>0.1</v>
      </c>
      <c r="K4" s="9">
        <v>13828</v>
      </c>
      <c r="L4" s="9">
        <v>13828</v>
      </c>
      <c r="M4" s="5" t="s">
        <v>28</v>
      </c>
      <c r="N4" s="5">
        <f>(L4*J4)/1000</f>
        <v>1.3828000000000003</v>
      </c>
      <c r="O4" s="5" t="s">
        <v>32</v>
      </c>
      <c r="P4" s="5">
        <v>13826.361111111111</v>
      </c>
      <c r="Q4" s="16">
        <v>0.42430555555555555</v>
      </c>
      <c r="R4" s="16">
        <v>0.6743055555555556</v>
      </c>
      <c r="S4" s="17">
        <f>R4-Q4</f>
        <v>0.25000000000000006</v>
      </c>
      <c r="T4" s="18" t="s">
        <v>37</v>
      </c>
      <c r="U4" s="5" t="s">
        <v>33</v>
      </c>
      <c r="V4" s="5" t="s">
        <v>34</v>
      </c>
      <c r="W4" s="5" t="s">
        <v>35</v>
      </c>
      <c r="X4" s="5">
        <v>100</v>
      </c>
      <c r="Y4" s="5" t="s">
        <v>89</v>
      </c>
      <c r="Z4" s="5" t="s">
        <v>36</v>
      </c>
      <c r="AA4" s="10"/>
      <c r="AB4" s="10"/>
      <c r="AC4" s="10"/>
      <c r="AD4" s="10"/>
      <c r="AE4" s="10"/>
      <c r="AF4" s="10"/>
      <c r="AG4" s="10"/>
      <c r="AH4" s="10"/>
      <c r="AI4" s="10"/>
      <c r="AJ4" s="10"/>
      <c r="AK4" s="10"/>
      <c r="AL4" s="10" t="s">
        <v>94</v>
      </c>
    </row>
    <row r="5" spans="1:38" x14ac:dyDescent="0.35">
      <c r="A5" s="5">
        <v>2006</v>
      </c>
      <c r="B5" s="15" t="s">
        <v>47</v>
      </c>
      <c r="C5" s="5" t="s">
        <v>48</v>
      </c>
      <c r="D5" s="5" t="s">
        <v>49</v>
      </c>
      <c r="E5" s="5" t="s">
        <v>50</v>
      </c>
      <c r="F5" s="5" t="s">
        <v>51</v>
      </c>
      <c r="G5" s="5">
        <v>4030000000</v>
      </c>
      <c r="H5" s="5" t="s">
        <v>38</v>
      </c>
      <c r="I5" s="5" t="s">
        <v>26</v>
      </c>
      <c r="J5" s="5">
        <v>0.1</v>
      </c>
      <c r="K5" s="9">
        <v>11982</v>
      </c>
      <c r="L5" s="9">
        <v>11982</v>
      </c>
      <c r="M5" s="5" t="s">
        <v>28</v>
      </c>
      <c r="N5" s="5">
        <f>L5*J5/1000</f>
        <v>1.1982000000000002</v>
      </c>
      <c r="O5" s="5">
        <v>11990.359146086226</v>
      </c>
      <c r="P5" s="5" t="s">
        <v>88</v>
      </c>
      <c r="Q5" s="16">
        <v>0.33333333333333331</v>
      </c>
      <c r="R5" s="16">
        <v>0.83333333333333337</v>
      </c>
      <c r="S5" s="17">
        <f>R5-Q5</f>
        <v>0.5</v>
      </c>
      <c r="T5" s="19">
        <f>S8-15/30</f>
        <v>-0.5</v>
      </c>
      <c r="U5" s="5">
        <f>L5/(L5+4.06)*100</f>
        <v>99.96612731790097</v>
      </c>
      <c r="V5" s="5">
        <f>L5/O5*100</f>
        <v>99.930284439486911</v>
      </c>
      <c r="W5" s="5"/>
      <c r="X5" s="5">
        <v>4.0599999999999996</v>
      </c>
      <c r="Y5" s="10"/>
      <c r="Z5" s="5">
        <f>L5/O5</f>
        <v>0.99930284439486916</v>
      </c>
      <c r="AA5" s="20" t="s">
        <v>53</v>
      </c>
      <c r="AB5" s="20" t="s">
        <v>52</v>
      </c>
      <c r="AC5" s="10" t="s">
        <v>47</v>
      </c>
      <c r="AD5" s="10" t="s">
        <v>54</v>
      </c>
      <c r="AE5" s="20" t="s">
        <v>55</v>
      </c>
      <c r="AF5" s="10"/>
      <c r="AG5" s="10"/>
      <c r="AH5" s="10"/>
      <c r="AI5" s="10"/>
      <c r="AJ5" s="10"/>
      <c r="AK5" s="10"/>
      <c r="AL5" s="10"/>
    </row>
    <row r="6" spans="1:38" ht="43.5" x14ac:dyDescent="0.35">
      <c r="A6" s="5">
        <v>2001</v>
      </c>
      <c r="B6" s="15" t="s">
        <v>63</v>
      </c>
      <c r="C6" s="5" t="s">
        <v>64</v>
      </c>
      <c r="D6" s="5" t="s">
        <v>65</v>
      </c>
      <c r="E6" s="5" t="s">
        <v>66</v>
      </c>
      <c r="F6" s="5" t="s">
        <v>67</v>
      </c>
      <c r="G6" s="5">
        <v>4010000325</v>
      </c>
      <c r="H6" s="5" t="s">
        <v>72</v>
      </c>
      <c r="I6" s="5" t="s">
        <v>73</v>
      </c>
      <c r="J6" s="5">
        <v>2.5000000000000001E-2</v>
      </c>
      <c r="K6" s="9">
        <v>1000</v>
      </c>
      <c r="L6" s="9">
        <v>100</v>
      </c>
      <c r="M6" s="21" t="s">
        <v>28</v>
      </c>
      <c r="N6" s="21">
        <f t="shared" ref="N6:N8" si="0">L6*J6/1000</f>
        <v>2.5000000000000001E-3</v>
      </c>
      <c r="O6" s="21">
        <v>100</v>
      </c>
      <c r="P6" s="5">
        <f>N15</f>
        <v>0</v>
      </c>
      <c r="Q6" s="16">
        <v>0.25</v>
      </c>
      <c r="R6" s="16">
        <v>0.28064814814814815</v>
      </c>
      <c r="S6" s="17">
        <f>R6-Q6</f>
        <v>3.0648148148148147E-2</v>
      </c>
      <c r="T6" s="18"/>
      <c r="U6" s="13" t="s">
        <v>95</v>
      </c>
      <c r="V6" s="5"/>
      <c r="W6" s="5"/>
      <c r="X6" s="5"/>
      <c r="Y6" s="5"/>
      <c r="Z6" s="5"/>
      <c r="AA6" s="10"/>
      <c r="AB6" s="10"/>
      <c r="AC6" s="10"/>
      <c r="AD6" s="10"/>
      <c r="AE6" s="10"/>
      <c r="AF6" s="10"/>
      <c r="AG6" s="10"/>
      <c r="AH6" s="10"/>
      <c r="AI6" s="10"/>
      <c r="AJ6" s="10"/>
      <c r="AK6" s="10"/>
      <c r="AL6" s="10"/>
    </row>
    <row r="7" spans="1:38" s="3" customFormat="1" x14ac:dyDescent="0.35">
      <c r="A7" s="5">
        <v>2001</v>
      </c>
      <c r="B7" s="15" t="s">
        <v>63</v>
      </c>
      <c r="C7" s="5" t="s">
        <v>64</v>
      </c>
      <c r="D7" s="5" t="s">
        <v>65</v>
      </c>
      <c r="E7" s="9" t="s">
        <v>68</v>
      </c>
      <c r="F7" s="9" t="s">
        <v>70</v>
      </c>
      <c r="G7" s="5">
        <v>4010000325</v>
      </c>
      <c r="H7" s="5" t="s">
        <v>72</v>
      </c>
      <c r="I7" s="5" t="s">
        <v>73</v>
      </c>
      <c r="J7" s="5">
        <v>2.5000000000000001E-2</v>
      </c>
      <c r="K7" s="9">
        <v>1000</v>
      </c>
      <c r="L7" s="9">
        <v>100</v>
      </c>
      <c r="M7" s="21" t="s">
        <v>28</v>
      </c>
      <c r="N7" s="21">
        <f t="shared" si="0"/>
        <v>2.5000000000000001E-3</v>
      </c>
      <c r="O7" s="21">
        <v>100</v>
      </c>
      <c r="P7" s="5">
        <v>3.53</v>
      </c>
      <c r="Q7" s="16">
        <v>0.25</v>
      </c>
      <c r="R7" s="16">
        <v>0.28064814814814815</v>
      </c>
      <c r="S7" s="17">
        <f>R7-Q7</f>
        <v>3.0648148148148147E-2</v>
      </c>
      <c r="T7" s="9"/>
      <c r="U7" s="9"/>
      <c r="V7" s="9"/>
      <c r="W7" s="9"/>
      <c r="X7" s="9"/>
      <c r="Y7" s="9"/>
      <c r="Z7" s="9"/>
      <c r="AA7" s="9"/>
      <c r="AB7" s="9"/>
      <c r="AC7" s="9"/>
      <c r="AD7" s="9"/>
      <c r="AE7" s="9"/>
      <c r="AF7" s="9"/>
      <c r="AG7" s="9"/>
      <c r="AH7" s="9"/>
      <c r="AI7" s="9"/>
      <c r="AJ7" s="9"/>
      <c r="AK7" s="9"/>
      <c r="AL7" s="9"/>
    </row>
    <row r="8" spans="1:38" x14ac:dyDescent="0.35">
      <c r="A8" s="5">
        <v>2001</v>
      </c>
      <c r="B8" s="15" t="s">
        <v>63</v>
      </c>
      <c r="C8" s="5" t="s">
        <v>64</v>
      </c>
      <c r="D8" s="5" t="s">
        <v>65</v>
      </c>
      <c r="E8" s="10" t="s">
        <v>69</v>
      </c>
      <c r="F8" s="10" t="s">
        <v>71</v>
      </c>
      <c r="G8" s="5">
        <v>4010000325</v>
      </c>
      <c r="H8" s="5" t="s">
        <v>72</v>
      </c>
      <c r="I8" s="5" t="s">
        <v>73</v>
      </c>
      <c r="J8" s="5">
        <v>2.5000000000000001E-2</v>
      </c>
      <c r="K8" s="9">
        <v>1000</v>
      </c>
      <c r="L8" s="9">
        <v>100</v>
      </c>
      <c r="M8" s="21" t="s">
        <v>28</v>
      </c>
      <c r="N8" s="21">
        <f t="shared" si="0"/>
        <v>2.5000000000000001E-3</v>
      </c>
      <c r="O8" s="21">
        <v>100</v>
      </c>
      <c r="P8" s="10">
        <f>Q29</f>
        <v>28508.771929824557</v>
      </c>
      <c r="Q8" s="22">
        <v>0.28064814814814815</v>
      </c>
      <c r="R8" s="22">
        <v>0.28064814814814815</v>
      </c>
      <c r="S8" s="17">
        <f>R8-Q8</f>
        <v>0</v>
      </c>
      <c r="T8" s="10"/>
      <c r="U8" s="10"/>
      <c r="V8" s="10"/>
      <c r="W8" s="10"/>
      <c r="X8" s="10"/>
      <c r="Y8" s="10"/>
      <c r="Z8" s="10"/>
      <c r="AA8" s="10"/>
      <c r="AB8" s="10"/>
      <c r="AC8" s="10"/>
      <c r="AD8" s="10"/>
      <c r="AE8" s="10"/>
      <c r="AF8" s="10"/>
      <c r="AG8" s="10"/>
      <c r="AH8" s="10"/>
      <c r="AI8" s="10"/>
      <c r="AJ8" s="10"/>
      <c r="AK8" s="10"/>
      <c r="AL8" s="10"/>
    </row>
    <row r="10" spans="1:38" x14ac:dyDescent="0.35">
      <c r="U10" t="s">
        <v>91</v>
      </c>
      <c r="V10">
        <v>19.920000000000002</v>
      </c>
      <c r="W10" t="s">
        <v>92</v>
      </c>
      <c r="X10" t="s">
        <v>96</v>
      </c>
    </row>
    <row r="11" spans="1:38" x14ac:dyDescent="0.35">
      <c r="A11" s="4" t="s">
        <v>180</v>
      </c>
      <c r="B11" s="12" t="s">
        <v>58</v>
      </c>
    </row>
    <row r="12" spans="1:38" x14ac:dyDescent="0.35">
      <c r="U12" t="s">
        <v>90</v>
      </c>
      <c r="V12">
        <f>11982/601.85</f>
        <v>19.908615103431085</v>
      </c>
      <c r="W12" t="s">
        <v>110</v>
      </c>
      <c r="X12" t="s">
        <v>97</v>
      </c>
    </row>
    <row r="13" spans="1:38" x14ac:dyDescent="0.35">
      <c r="N13">
        <f>41040/1440</f>
        <v>28.5</v>
      </c>
      <c r="O13">
        <f>13480/1440</f>
        <v>9.3611111111111107</v>
      </c>
      <c r="P13">
        <f>(1440+120)/13480</f>
        <v>0.11572700296735905</v>
      </c>
      <c r="S13" s="3">
        <v>11982</v>
      </c>
      <c r="U13">
        <v>5</v>
      </c>
    </row>
    <row r="14" spans="1:38" x14ac:dyDescent="0.35">
      <c r="A14" s="4" t="s">
        <v>45</v>
      </c>
    </row>
    <row r="15" spans="1:38" x14ac:dyDescent="0.35">
      <c r="A15" s="4" t="s">
        <v>0</v>
      </c>
      <c r="B15" s="12" t="s">
        <v>11</v>
      </c>
      <c r="C15" s="4" t="s">
        <v>12</v>
      </c>
    </row>
    <row r="16" spans="1:38" ht="29" x14ac:dyDescent="0.35">
      <c r="B16" s="12" t="s">
        <v>74</v>
      </c>
      <c r="E16" t="s">
        <v>14</v>
      </c>
    </row>
    <row r="17" spans="1:17" x14ac:dyDescent="0.35">
      <c r="A17" s="4" t="s">
        <v>8</v>
      </c>
      <c r="C17" t="s">
        <v>9</v>
      </c>
    </row>
    <row r="18" spans="1:17" x14ac:dyDescent="0.35">
      <c r="A18" s="4" t="s">
        <v>10</v>
      </c>
      <c r="B18" s="11" t="s">
        <v>11</v>
      </c>
      <c r="C18" t="s">
        <v>12</v>
      </c>
      <c r="E18" t="s">
        <v>14</v>
      </c>
    </row>
    <row r="19" spans="1:17" x14ac:dyDescent="0.35">
      <c r="A19" s="4" t="s">
        <v>13</v>
      </c>
      <c r="B19" s="11" t="s">
        <v>11</v>
      </c>
      <c r="C19" t="s">
        <v>12</v>
      </c>
    </row>
    <row r="20" spans="1:17" x14ac:dyDescent="0.35">
      <c r="O20" t="e">
        <f>O18/O19</f>
        <v>#DIV/0!</v>
      </c>
    </row>
    <row r="21" spans="1:17" x14ac:dyDescent="0.35">
      <c r="H21">
        <v>28668</v>
      </c>
      <c r="O21">
        <v>601.85851820845539</v>
      </c>
    </row>
    <row r="22" spans="1:17" x14ac:dyDescent="0.35">
      <c r="O22" t="e">
        <f>O21*O20</f>
        <v>#DIV/0!</v>
      </c>
    </row>
    <row r="24" spans="1:17" x14ac:dyDescent="0.35">
      <c r="N24">
        <v>41040</v>
      </c>
      <c r="O24">
        <v>1160</v>
      </c>
    </row>
    <row r="25" spans="1:17" x14ac:dyDescent="0.35">
      <c r="N25">
        <v>1000</v>
      </c>
      <c r="O25">
        <f>O24*N25/N24</f>
        <v>28.265107212475634</v>
      </c>
    </row>
    <row r="26" spans="1:17" x14ac:dyDescent="0.35">
      <c r="A26" s="4" t="s">
        <v>128</v>
      </c>
    </row>
    <row r="27" spans="1:17" x14ac:dyDescent="0.35">
      <c r="Q27">
        <f>41040/1440</f>
        <v>28.5</v>
      </c>
    </row>
    <row r="28" spans="1:17" x14ac:dyDescent="0.35">
      <c r="N28">
        <v>41040</v>
      </c>
      <c r="O28">
        <v>11700</v>
      </c>
      <c r="Q28">
        <f>O29</f>
        <v>285.08771929824559</v>
      </c>
    </row>
    <row r="29" spans="1:17" x14ac:dyDescent="0.35">
      <c r="N29">
        <v>1000</v>
      </c>
      <c r="O29">
        <f>O28*N29/N28</f>
        <v>285.08771929824559</v>
      </c>
      <c r="Q29">
        <f>Q28*100</f>
        <v>28508.771929824557</v>
      </c>
    </row>
    <row r="30" spans="1:17" x14ac:dyDescent="0.35">
      <c r="A30" s="5" t="s">
        <v>0</v>
      </c>
      <c r="B30" s="14" t="s">
        <v>75</v>
      </c>
      <c r="Q30">
        <f>Q29*Q28</f>
        <v>8127500.769467527</v>
      </c>
    </row>
    <row r="31" spans="1:17" ht="58" x14ac:dyDescent="0.35">
      <c r="A31" s="5" t="s">
        <v>46</v>
      </c>
      <c r="B31" s="14" t="s">
        <v>76</v>
      </c>
      <c r="D31" t="s">
        <v>231</v>
      </c>
    </row>
    <row r="32" spans="1:17" ht="58" x14ac:dyDescent="0.35">
      <c r="A32" s="5" t="s">
        <v>8</v>
      </c>
      <c r="B32" s="14" t="s">
        <v>83</v>
      </c>
      <c r="D32" t="s">
        <v>232</v>
      </c>
    </row>
    <row r="33" spans="1:2" ht="43.5" x14ac:dyDescent="0.35">
      <c r="A33" s="5" t="s">
        <v>27</v>
      </c>
      <c r="B33" s="14" t="s">
        <v>77</v>
      </c>
    </row>
    <row r="34" spans="1:2" ht="116" x14ac:dyDescent="0.35">
      <c r="A34" s="5" t="s">
        <v>1</v>
      </c>
      <c r="B34" s="14" t="s">
        <v>127</v>
      </c>
    </row>
    <row r="35" spans="1:2" ht="29" x14ac:dyDescent="0.35">
      <c r="A35" s="5" t="s">
        <v>20</v>
      </c>
      <c r="B35" s="14" t="s">
        <v>78</v>
      </c>
    </row>
    <row r="36" spans="1:2" ht="43.5" x14ac:dyDescent="0.35">
      <c r="A36" s="5" t="s">
        <v>2</v>
      </c>
      <c r="B36" s="14" t="s">
        <v>84</v>
      </c>
    </row>
    <row r="37" spans="1:2" ht="29" x14ac:dyDescent="0.35">
      <c r="A37" s="5" t="s">
        <v>3</v>
      </c>
      <c r="B37" s="14" t="s">
        <v>79</v>
      </c>
    </row>
    <row r="38" spans="1:2" ht="29" x14ac:dyDescent="0.35">
      <c r="A38" s="5" t="s">
        <v>4</v>
      </c>
      <c r="B38" s="14" t="s">
        <v>80</v>
      </c>
    </row>
    <row r="39" spans="1:2" ht="29" x14ac:dyDescent="0.35">
      <c r="A39" s="5" t="s">
        <v>5</v>
      </c>
      <c r="B39" s="14" t="s">
        <v>81</v>
      </c>
    </row>
    <row r="40" spans="1:2" ht="58" x14ac:dyDescent="0.35">
      <c r="A40" s="5" t="s">
        <v>24</v>
      </c>
      <c r="B40" s="14" t="s">
        <v>85</v>
      </c>
    </row>
    <row r="41" spans="1:2" ht="29" x14ac:dyDescent="0.35">
      <c r="A41" s="5" t="s">
        <v>6</v>
      </c>
      <c r="B41" s="14" t="s">
        <v>82</v>
      </c>
    </row>
    <row r="42" spans="1:2" ht="29" x14ac:dyDescent="0.35">
      <c r="A42" s="5" t="s">
        <v>7</v>
      </c>
      <c r="B42" s="14" t="s">
        <v>86</v>
      </c>
    </row>
    <row r="43" spans="1:2" x14ac:dyDescent="0.35">
      <c r="A43" s="5" t="s">
        <v>21</v>
      </c>
      <c r="B43" s="14" t="s">
        <v>87</v>
      </c>
    </row>
    <row r="44" spans="1:2" ht="174" x14ac:dyDescent="0.35">
      <c r="A44" s="6" t="s">
        <v>39</v>
      </c>
      <c r="B44" s="14" t="s">
        <v>183</v>
      </c>
    </row>
    <row r="45" spans="1:2" ht="29" x14ac:dyDescent="0.35">
      <c r="A45" s="5"/>
      <c r="B45" s="14" t="s">
        <v>98</v>
      </c>
    </row>
    <row r="46" spans="1:2" ht="29" x14ac:dyDescent="0.35">
      <c r="A46" s="5"/>
      <c r="B46" s="14" t="s">
        <v>99</v>
      </c>
    </row>
    <row r="47" spans="1:2" x14ac:dyDescent="0.35">
      <c r="A47" s="5"/>
      <c r="B47" s="14"/>
    </row>
    <row r="48" spans="1:2" ht="43.5" x14ac:dyDescent="0.35">
      <c r="A48" s="5" t="s">
        <v>15</v>
      </c>
      <c r="B48" s="14" t="s">
        <v>107</v>
      </c>
    </row>
    <row r="49" spans="1:7" x14ac:dyDescent="0.35">
      <c r="A49" s="5" t="s">
        <v>100</v>
      </c>
      <c r="B49" s="14" t="s">
        <v>102</v>
      </c>
    </row>
    <row r="50" spans="1:7" x14ac:dyDescent="0.35">
      <c r="A50" s="5" t="s">
        <v>101</v>
      </c>
      <c r="B50" s="14" t="s">
        <v>104</v>
      </c>
    </row>
    <row r="51" spans="1:7" x14ac:dyDescent="0.35">
      <c r="A51" s="5" t="s">
        <v>29</v>
      </c>
      <c r="B51" s="14" t="s">
        <v>103</v>
      </c>
    </row>
    <row r="52" spans="1:7" x14ac:dyDescent="0.35">
      <c r="A52" s="5" t="s">
        <v>30</v>
      </c>
      <c r="B52" s="14" t="s">
        <v>105</v>
      </c>
    </row>
    <row r="53" spans="1:7" x14ac:dyDescent="0.35">
      <c r="A53" s="5" t="s">
        <v>31</v>
      </c>
      <c r="B53" s="14" t="s">
        <v>106</v>
      </c>
    </row>
    <row r="54" spans="1:7" x14ac:dyDescent="0.35">
      <c r="A54" s="5" t="s">
        <v>16</v>
      </c>
      <c r="B54" s="14" t="s">
        <v>108</v>
      </c>
      <c r="D54" s="2" t="s">
        <v>37</v>
      </c>
      <c r="E54" s="1" t="s">
        <v>33</v>
      </c>
      <c r="F54" s="1" t="s">
        <v>34</v>
      </c>
      <c r="G54" s="1" t="s">
        <v>35</v>
      </c>
    </row>
    <row r="55" spans="1:7" ht="43.5" x14ac:dyDescent="0.35">
      <c r="A55" s="5" t="s">
        <v>17</v>
      </c>
      <c r="B55" s="14" t="s">
        <v>109</v>
      </c>
    </row>
    <row r="56" spans="1:7" x14ac:dyDescent="0.35">
      <c r="A56" s="5" t="s">
        <v>18</v>
      </c>
      <c r="B56" s="1" t="s">
        <v>34</v>
      </c>
      <c r="D56" t="s">
        <v>112</v>
      </c>
      <c r="E56" t="s">
        <v>111</v>
      </c>
    </row>
    <row r="57" spans="1:7" x14ac:dyDescent="0.35">
      <c r="A57" s="5" t="s">
        <v>25</v>
      </c>
      <c r="B57" s="1" t="s">
        <v>35</v>
      </c>
      <c r="D57" t="s">
        <v>90</v>
      </c>
      <c r="E57" t="s">
        <v>113</v>
      </c>
    </row>
    <row r="58" spans="1:7" x14ac:dyDescent="0.35">
      <c r="A58" s="5" t="s">
        <v>19</v>
      </c>
      <c r="B58" s="14" t="s">
        <v>114</v>
      </c>
    </row>
    <row r="59" spans="1:7" x14ac:dyDescent="0.35">
      <c r="A59" s="5" t="s">
        <v>22</v>
      </c>
      <c r="B59" s="14" t="s">
        <v>115</v>
      </c>
    </row>
    <row r="60" spans="1:7" x14ac:dyDescent="0.35">
      <c r="A60" s="5" t="s">
        <v>23</v>
      </c>
      <c r="B60" s="14" t="s">
        <v>116</v>
      </c>
    </row>
    <row r="61" spans="1:7" ht="29" x14ac:dyDescent="0.35">
      <c r="A61" s="6" t="s">
        <v>40</v>
      </c>
      <c r="B61" s="14" t="s">
        <v>117</v>
      </c>
    </row>
    <row r="62" spans="1:7" x14ac:dyDescent="0.35">
      <c r="A62" s="6" t="s">
        <v>41</v>
      </c>
      <c r="B62" s="14" t="s">
        <v>118</v>
      </c>
    </row>
    <row r="63" spans="1:7" ht="29" x14ac:dyDescent="0.35">
      <c r="A63" s="6" t="s">
        <v>42</v>
      </c>
      <c r="B63" s="14" t="s">
        <v>119</v>
      </c>
    </row>
    <row r="64" spans="1:7" ht="29" x14ac:dyDescent="0.35">
      <c r="A64" s="6" t="s">
        <v>43</v>
      </c>
      <c r="B64" s="14" t="s">
        <v>120</v>
      </c>
    </row>
    <row r="65" spans="1:2" x14ac:dyDescent="0.35">
      <c r="A65" s="6" t="s">
        <v>44</v>
      </c>
      <c r="B65" s="14" t="s">
        <v>121</v>
      </c>
    </row>
    <row r="66" spans="1:2" x14ac:dyDescent="0.35">
      <c r="A66" s="6" t="s">
        <v>59</v>
      </c>
      <c r="B66" s="14" t="s">
        <v>123</v>
      </c>
    </row>
    <row r="67" spans="1:2" x14ac:dyDescent="0.35">
      <c r="A67" s="6" t="s">
        <v>60</v>
      </c>
      <c r="B67" s="14" t="s">
        <v>122</v>
      </c>
    </row>
    <row r="68" spans="1:2" x14ac:dyDescent="0.35">
      <c r="A68" s="6" t="s">
        <v>61</v>
      </c>
      <c r="B68" s="14" t="s">
        <v>124</v>
      </c>
    </row>
    <row r="69" spans="1:2" x14ac:dyDescent="0.35">
      <c r="A69" s="6" t="s">
        <v>62</v>
      </c>
      <c r="B69" s="14" t="s">
        <v>125</v>
      </c>
    </row>
    <row r="70" spans="1:2" x14ac:dyDescent="0.35">
      <c r="A70" s="6" t="s">
        <v>225</v>
      </c>
      <c r="B70" s="14" t="s">
        <v>126</v>
      </c>
    </row>
    <row r="71" spans="1:2" ht="29" x14ac:dyDescent="0.35">
      <c r="A71" s="8" t="s">
        <v>226</v>
      </c>
      <c r="B71" s="11" t="s">
        <v>227</v>
      </c>
    </row>
    <row r="72" spans="1:2" x14ac:dyDescent="0.35">
      <c r="A72" s="67"/>
    </row>
    <row r="73" spans="1:2" x14ac:dyDescent="0.35">
      <c r="A73" s="66" t="s">
        <v>181</v>
      </c>
      <c r="B73" s="11" t="s">
        <v>182</v>
      </c>
    </row>
    <row r="75" spans="1:2" x14ac:dyDescent="0.35">
      <c r="B75" s="11" t="s">
        <v>184</v>
      </c>
    </row>
    <row r="76" spans="1:2" x14ac:dyDescent="0.35">
      <c r="B76" s="11" t="s">
        <v>185</v>
      </c>
    </row>
    <row r="78" spans="1:2" x14ac:dyDescent="0.35">
      <c r="A78" s="4" t="s">
        <v>186</v>
      </c>
      <c r="B78" s="12" t="s">
        <v>187</v>
      </c>
    </row>
    <row r="80" spans="1:2" ht="43.5" x14ac:dyDescent="0.35">
      <c r="B80" s="11" t="s">
        <v>188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3ebee9-d364-4dd3-af19-84690ac03d5e">
      <Terms xmlns="http://schemas.microsoft.com/office/infopath/2007/PartnerControls"/>
    </lcf76f155ced4ddcb4097134ff3c332f>
    <TaxCatchAll xmlns="7d7a7591-e602-4b9f-b530-dca17f1347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1FBF285A9BD9428BA0BF917D7E64EF" ma:contentTypeVersion="12" ma:contentTypeDescription="Create a new document." ma:contentTypeScope="" ma:versionID="1b2d9aa62ce948ecbccb2ebc57c89fb4">
  <xsd:schema xmlns:xsd="http://www.w3.org/2001/XMLSchema" xmlns:xs="http://www.w3.org/2001/XMLSchema" xmlns:p="http://schemas.microsoft.com/office/2006/metadata/properties" xmlns:ns2="c43ebee9-d364-4dd3-af19-84690ac03d5e" xmlns:ns3="7d7a7591-e602-4b9f-b530-dca17f134753" targetNamespace="http://schemas.microsoft.com/office/2006/metadata/properties" ma:root="true" ma:fieldsID="9006fa0b9a57399cb7572c6f17bc1c23" ns2:_="" ns3:_="">
    <xsd:import namespace="c43ebee9-d364-4dd3-af19-84690ac03d5e"/>
    <xsd:import namespace="7d7a7591-e602-4b9f-b530-dca17f1347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ebee9-d364-4dd3-af19-84690ac03d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a7591-e602-4b9f-b530-dca17f13475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ab17d45-9d60-40d0-90d2-06f343d0f920}" ma:internalName="TaxCatchAll" ma:showField="CatchAllData" ma:web="7d7a7591-e602-4b9f-b530-dca17f1347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4A474D-3274-4357-9BF5-E195B30AF972}">
  <ds:schemaRefs>
    <ds:schemaRef ds:uri="http://schemas.microsoft.com/office/2006/metadata/properties"/>
    <ds:schemaRef ds:uri="http://schemas.microsoft.com/office/infopath/2007/PartnerControls"/>
    <ds:schemaRef ds:uri="c43ebee9-d364-4dd3-af19-84690ac03d5e"/>
    <ds:schemaRef ds:uri="7d7a7591-e602-4b9f-b530-dca17f134753"/>
  </ds:schemaRefs>
</ds:datastoreItem>
</file>

<file path=customXml/itemProps2.xml><?xml version="1.0" encoding="utf-8"?>
<ds:datastoreItem xmlns:ds="http://schemas.openxmlformats.org/officeDocument/2006/customXml" ds:itemID="{3DC726AA-EEDF-472A-8BAB-0F97BE4EEE68}">
  <ds:schemaRefs>
    <ds:schemaRef ds:uri="http://schemas.microsoft.com/sharepoint/v3/contenttype/forms"/>
  </ds:schemaRefs>
</ds:datastoreItem>
</file>

<file path=customXml/itemProps3.xml><?xml version="1.0" encoding="utf-8"?>
<ds:datastoreItem xmlns:ds="http://schemas.openxmlformats.org/officeDocument/2006/customXml" ds:itemID="{905D2F12-F0CC-4772-BF77-BBDC2D8428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3ebee9-d364-4dd3-af19-84690ac03d5e"/>
    <ds:schemaRef ds:uri="7d7a7591-e602-4b9f-b530-dca17f1347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129b2cc-4393-4691-814d-95eb8359c06c}"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Business Requirement</vt:lpstr>
      <vt:lpstr>FS</vt:lpstr>
      <vt:lpstr>Detailed 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Rathore</dc:creator>
  <cp:lastModifiedBy>Angha Varangaonkar</cp:lastModifiedBy>
  <dcterms:created xsi:type="dcterms:W3CDTF">2026-04-27T10:19:43Z</dcterms:created>
  <dcterms:modified xsi:type="dcterms:W3CDTF">2026-07-13T08:41:35Z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0x010100C21FBF285A9BD9428BA0BF917D7E64EF</vt:lpwstr>
  </property>
</Properties>
</file>